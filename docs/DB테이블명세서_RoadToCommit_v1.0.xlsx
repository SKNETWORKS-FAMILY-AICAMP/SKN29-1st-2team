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m\Downloads\SKN029-PRJ-1ST-2TEAM_20260331_package\"/>
    </mc:Choice>
  </mc:AlternateContent>
  <bookViews>
    <workbookView xWindow="0" yWindow="0" windowWidth="21570" windowHeight="7440"/>
  </bookViews>
  <sheets>
    <sheet name="표지" sheetId="4" r:id="rId1"/>
    <sheet name="개정이력" sheetId="5" r:id="rId2"/>
    <sheet name="테이블명세서" sheetId="3" r:id="rId3"/>
    <sheet name="컬럼목록" sheetId="1" r:id="rId4"/>
  </sheets>
  <definedNames>
    <definedName name="_xlnm._FilterDatabase" localSheetId="3" hidden="1">컬럼목록!$A$4:$O$44</definedName>
    <definedName name="_xlnm.Print_Area" localSheetId="1">개정이력!$A$1:$J$23</definedName>
    <definedName name="_xlnm.Print_Area" localSheetId="2">테이블명세서!$A$1:$P$88</definedName>
    <definedName name="_xlnm.Print_Area" localSheetId="0">표지!$A$1:$S$25</definedName>
  </definedNames>
  <calcPr calcId="152511"/>
</workbook>
</file>

<file path=xl/calcChain.xml><?xml version="1.0" encoding="utf-8"?>
<calcChain xmlns="http://schemas.openxmlformats.org/spreadsheetml/2006/main">
  <c r="A47" i="1" l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C47" i="1"/>
  <c r="B47" i="1"/>
  <c r="C46" i="1"/>
  <c r="B46" i="1"/>
  <c r="C45" i="1"/>
  <c r="B45" i="1"/>
  <c r="C87" i="3"/>
  <c r="B87" i="3"/>
  <c r="C86" i="3"/>
  <c r="B86" i="3"/>
  <c r="C85" i="3"/>
  <c r="B85" i="3"/>
  <c r="D81" i="3" l="1"/>
  <c r="D80" i="3"/>
  <c r="D79" i="3"/>
  <c r="D74" i="3"/>
  <c r="D73" i="3"/>
  <c r="D68" i="3"/>
  <c r="D67" i="3"/>
  <c r="D66" i="3"/>
  <c r="D65" i="3"/>
  <c r="D60" i="3"/>
  <c r="D59" i="3"/>
  <c r="D54" i="3"/>
  <c r="D53" i="3"/>
  <c r="D52" i="3"/>
  <c r="D47" i="3"/>
  <c r="D46" i="3"/>
  <c r="D41" i="3"/>
  <c r="D36" i="3"/>
  <c r="D35" i="3"/>
  <c r="D34" i="3"/>
  <c r="D40" i="3"/>
  <c r="D45" i="3"/>
  <c r="D51" i="3"/>
  <c r="D58" i="3"/>
  <c r="D64" i="3"/>
  <c r="D72" i="3"/>
  <c r="D78" i="3"/>
  <c r="C81" i="3"/>
  <c r="B81" i="3"/>
  <c r="C80" i="3"/>
  <c r="B80" i="3"/>
  <c r="C79" i="3"/>
  <c r="B79" i="3"/>
  <c r="C78" i="3"/>
  <c r="B78" i="3"/>
  <c r="C74" i="3"/>
  <c r="B74" i="3"/>
  <c r="C73" i="3"/>
  <c r="B73" i="3"/>
  <c r="C72" i="3"/>
  <c r="B72" i="3"/>
  <c r="C68" i="3"/>
  <c r="B68" i="3"/>
  <c r="C67" i="3"/>
  <c r="B67" i="3"/>
  <c r="C66" i="3"/>
  <c r="B66" i="3"/>
  <c r="C65" i="3"/>
  <c r="B65" i="3"/>
  <c r="C64" i="3"/>
  <c r="B64" i="3"/>
  <c r="C60" i="3"/>
  <c r="B60" i="3"/>
  <c r="C59" i="3"/>
  <c r="B59" i="3"/>
  <c r="C58" i="3"/>
  <c r="B58" i="3"/>
  <c r="C54" i="3"/>
  <c r="B54" i="3"/>
  <c r="C53" i="3"/>
  <c r="B53" i="3"/>
  <c r="C52" i="3"/>
  <c r="B52" i="3"/>
  <c r="C51" i="3"/>
  <c r="B51" i="3"/>
  <c r="C47" i="3"/>
  <c r="B47" i="3"/>
  <c r="C46" i="3"/>
  <c r="B46" i="3"/>
  <c r="C45" i="3"/>
  <c r="B45" i="3"/>
  <c r="C41" i="3"/>
  <c r="B41" i="3"/>
  <c r="C40" i="3"/>
  <c r="B40" i="3"/>
  <c r="C36" i="3"/>
  <c r="B36" i="3"/>
  <c r="C35" i="3"/>
  <c r="B35" i="3"/>
  <c r="C34" i="3"/>
  <c r="B34" i="3"/>
  <c r="D16" i="3"/>
  <c r="C16" i="3"/>
  <c r="B16" i="3"/>
  <c r="D15" i="3"/>
  <c r="C15" i="3"/>
  <c r="B15" i="3"/>
  <c r="D14" i="3"/>
  <c r="C14" i="3"/>
  <c r="B14" i="3"/>
  <c r="D13" i="3"/>
  <c r="C13" i="3"/>
  <c r="B13" i="3"/>
  <c r="D30" i="3"/>
  <c r="C30" i="3"/>
  <c r="B30" i="3"/>
  <c r="D29" i="3"/>
  <c r="C29" i="3"/>
  <c r="B29" i="3"/>
  <c r="D28" i="3"/>
  <c r="C28" i="3"/>
  <c r="B28" i="3"/>
  <c r="C23" i="3"/>
  <c r="B23" i="3"/>
  <c r="C22" i="3"/>
  <c r="B22" i="3"/>
  <c r="C21" i="3"/>
  <c r="B21" i="3"/>
  <c r="D23" i="3"/>
  <c r="D22" i="3"/>
  <c r="D21" i="3"/>
  <c r="D20" i="3"/>
  <c r="D12" i="3"/>
  <c r="D27" i="3"/>
  <c r="C27" i="3"/>
  <c r="B27" i="3"/>
  <c r="C20" i="3"/>
  <c r="B20" i="3"/>
  <c r="C12" i="3"/>
  <c r="B12" i="3"/>
  <c r="B25" i="1" l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</calcChain>
</file>

<file path=xl/sharedStrings.xml><?xml version="1.0" encoding="utf-8"?>
<sst xmlns="http://schemas.openxmlformats.org/spreadsheetml/2006/main" count="738" uniqueCount="180">
  <si>
    <t>작성자</t>
  </si>
  <si>
    <t>컬럼명</t>
  </si>
  <si>
    <t>작성일</t>
  </si>
  <si>
    <t>NN</t>
  </si>
  <si>
    <t>no</t>
  </si>
  <si>
    <t>비고</t>
  </si>
  <si>
    <t>Key</t>
  </si>
  <si>
    <t>Table Specification</t>
  </si>
  <si>
    <t>시스템/서비스</t>
  </si>
  <si>
    <t>정의/설명</t>
  </si>
  <si>
    <t>length</t>
  </si>
  <si>
    <t>참조테이블</t>
  </si>
  <si>
    <t>type</t>
  </si>
  <si>
    <t>dbms</t>
  </si>
  <si>
    <t>Default</t>
  </si>
  <si>
    <t>개정이력</t>
    <phoneticPr fontId="9" type="noConversion"/>
  </si>
  <si>
    <t>버전</t>
  </si>
  <si>
    <t>변경일</t>
  </si>
  <si>
    <r>
      <t>변경내용</t>
    </r>
    <r>
      <rPr>
        <b/>
        <vertAlign val="superscript"/>
        <sz val="13"/>
        <color theme="1"/>
        <rFont val="Arial"/>
        <family val="3"/>
        <charset val="129"/>
        <scheme val="minor"/>
      </rPr>
      <t>1)</t>
    </r>
    <phoneticPr fontId="9" type="noConversion"/>
  </si>
  <si>
    <t>검토자</t>
  </si>
  <si>
    <t>승인자</t>
  </si>
  <si>
    <t>최초작성</t>
  </si>
  <si>
    <r>
      <rPr>
        <sz val="10"/>
        <color theme="1"/>
        <rFont val="Arial"/>
        <family val="3"/>
        <charset val="129"/>
        <scheme val="minor"/>
      </rPr>
      <t>주</t>
    </r>
    <r>
      <rPr>
        <sz val="10"/>
        <color theme="1"/>
        <rFont val="Arial"/>
        <family val="2"/>
        <charset val="129"/>
        <scheme val="minor"/>
      </rPr>
      <t xml:space="preserve">1) </t>
    </r>
    <r>
      <rPr>
        <sz val="10"/>
        <color theme="1"/>
        <rFont val="Arial"/>
        <family val="3"/>
        <charset val="129"/>
        <scheme val="minor"/>
      </rPr>
      <t>변경내용</t>
    </r>
    <r>
      <rPr>
        <sz val="10"/>
        <color theme="1"/>
        <rFont val="Arial"/>
        <family val="2"/>
        <charset val="129"/>
        <scheme val="minor"/>
      </rPr>
      <t xml:space="preserve"> : </t>
    </r>
    <r>
      <rPr>
        <sz val="10"/>
        <color theme="1"/>
        <rFont val="Arial"/>
        <family val="3"/>
        <charset val="129"/>
        <scheme val="minor"/>
      </rPr>
      <t>변경이</t>
    </r>
    <r>
      <rPr>
        <sz val="10"/>
        <color theme="1"/>
        <rFont val="Arial"/>
        <family val="2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발생되는</t>
    </r>
    <r>
      <rPr>
        <sz val="10"/>
        <color theme="1"/>
        <rFont val="Arial"/>
        <family val="2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위치와</t>
    </r>
    <r>
      <rPr>
        <sz val="10"/>
        <color theme="1"/>
        <rFont val="Arial"/>
        <family val="2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변경</t>
    </r>
    <r>
      <rPr>
        <sz val="10"/>
        <color theme="1"/>
        <rFont val="Arial"/>
        <family val="2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내용을</t>
    </r>
    <r>
      <rPr>
        <sz val="10"/>
        <color theme="1"/>
        <rFont val="Arial"/>
        <family val="2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자세히</t>
    </r>
    <r>
      <rPr>
        <sz val="10"/>
        <color theme="1"/>
        <rFont val="Arial"/>
        <family val="2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기록</t>
    </r>
    <r>
      <rPr>
        <sz val="10"/>
        <color theme="1"/>
        <rFont val="Arial"/>
        <family val="2"/>
        <charset val="129"/>
        <scheme val="minor"/>
      </rPr>
      <t>(</t>
    </r>
    <r>
      <rPr>
        <sz val="10"/>
        <color theme="1"/>
        <rFont val="Arial"/>
        <family val="3"/>
        <charset val="129"/>
        <scheme val="minor"/>
      </rPr>
      <t>장</t>
    </r>
    <r>
      <rPr>
        <sz val="10"/>
        <color theme="1"/>
        <rFont val="Arial"/>
        <family val="2"/>
        <charset val="129"/>
        <scheme val="minor"/>
      </rPr>
      <t>/</t>
    </r>
    <r>
      <rPr>
        <sz val="10"/>
        <color theme="1"/>
        <rFont val="Arial"/>
        <family val="3"/>
        <charset val="129"/>
        <scheme val="minor"/>
      </rPr>
      <t>절</t>
    </r>
    <r>
      <rPr>
        <sz val="10"/>
        <color theme="1"/>
        <rFont val="Arial"/>
        <family val="2"/>
        <charset val="129"/>
        <scheme val="minor"/>
      </rPr>
      <t>)</t>
    </r>
    <r>
      <rPr>
        <sz val="10"/>
        <color theme="1"/>
        <rFont val="Arial"/>
        <family val="3"/>
        <charset val="129"/>
        <scheme val="minor"/>
      </rPr>
      <t>과</t>
    </r>
    <r>
      <rPr>
        <sz val="10"/>
        <color theme="1"/>
        <rFont val="Arial"/>
        <family val="2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변경</t>
    </r>
    <r>
      <rPr>
        <sz val="10"/>
        <color theme="1"/>
        <rFont val="Arial"/>
        <family val="2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내용을</t>
    </r>
    <r>
      <rPr>
        <sz val="10"/>
        <color theme="1"/>
        <rFont val="Arial"/>
        <family val="2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기술</t>
    </r>
    <phoneticPr fontId="9" type="noConversion"/>
  </si>
  <si>
    <t>김재홍</t>
    <phoneticPr fontId="7" type="noConversion"/>
  </si>
  <si>
    <t>DB 테이블 명세서</t>
    <phoneticPr fontId="9" type="noConversion"/>
  </si>
  <si>
    <t>0.1</t>
    <phoneticPr fontId="7" type="noConversion"/>
  </si>
  <si>
    <t>table_name</t>
    <phoneticPr fontId="7" type="noConversion"/>
  </si>
  <si>
    <t>column_name</t>
    <phoneticPr fontId="7" type="noConversion"/>
  </si>
  <si>
    <t>schema_name</t>
    <phoneticPr fontId="7" type="noConversion"/>
  </si>
  <si>
    <t>schema_name</t>
    <phoneticPr fontId="7" type="noConversion"/>
  </si>
  <si>
    <t>db_name</t>
  </si>
  <si>
    <t>table_number</t>
  </si>
  <si>
    <t>table_number</t>
    <phoneticPr fontId="7" type="noConversion"/>
  </si>
  <si>
    <t>month</t>
  </si>
  <si>
    <t>sido</t>
  </si>
  <si>
    <t>passenger_private</t>
  </si>
  <si>
    <t>passenger_total</t>
  </si>
  <si>
    <t>sigungu</t>
  </si>
  <si>
    <t>table_name</t>
    <phoneticPr fontId="7" type="noConversion"/>
  </si>
  <si>
    <t>table_name</t>
    <phoneticPr fontId="7" type="noConversion"/>
  </si>
  <si>
    <t>table_number</t>
    <phoneticPr fontId="7" type="noConversion"/>
  </si>
  <si>
    <t>테이블명</t>
    <phoneticPr fontId="7" type="noConversion"/>
  </si>
  <si>
    <t>테이블명</t>
    <phoneticPr fontId="7" type="noConversion"/>
  </si>
  <si>
    <t>테이블명</t>
    <phoneticPr fontId="7" type="noConversion"/>
  </si>
  <si>
    <t>count</t>
  </si>
  <si>
    <t>income</t>
  </si>
  <si>
    <t>income_per_person</t>
  </si>
  <si>
    <t>int</t>
    <phoneticPr fontId="7" type="noConversion"/>
  </si>
  <si>
    <t>model_year</t>
  </si>
  <si>
    <t>passenger</t>
  </si>
  <si>
    <t>table_number</t>
    <phoneticPr fontId="7" type="noConversion"/>
  </si>
  <si>
    <t>passenger_cumulcar</t>
  </si>
  <si>
    <t>passenger_cumulimportedcar</t>
  </si>
  <si>
    <t>passenger_newcar</t>
  </si>
  <si>
    <t>passenger_newimported</t>
  </si>
  <si>
    <t>Unique</t>
    <phoneticPr fontId="7" type="noConversion"/>
  </si>
  <si>
    <t>Unique</t>
    <phoneticPr fontId="7" type="noConversion"/>
  </si>
  <si>
    <t>AUTO_INCREMENT</t>
    <phoneticPr fontId="7" type="noConversion"/>
  </si>
  <si>
    <t>NOT NULL</t>
    <phoneticPr fontId="7" type="noConversion"/>
  </si>
  <si>
    <t>int</t>
    <phoneticPr fontId="7" type="noConversion"/>
  </si>
  <si>
    <t>행번호</t>
    <phoneticPr fontId="7" type="noConversion"/>
  </si>
  <si>
    <t>지역id명</t>
    <phoneticPr fontId="7" type="noConversion"/>
  </si>
  <si>
    <t>0.2</t>
    <phoneticPr fontId="7" type="noConversion"/>
  </si>
  <si>
    <t>테이블명세 추가</t>
    <phoneticPr fontId="7" type="noConversion"/>
  </si>
  <si>
    <t>각 테이블의 고유 행 식별</t>
    <phoneticPr fontId="7" type="noConversion"/>
  </si>
  <si>
    <t>정의/설명</t>
    <phoneticPr fontId="7" type="noConversion"/>
  </si>
  <si>
    <t>Ver. 1.0</t>
    <phoneticPr fontId="9" type="noConversion"/>
  </si>
  <si>
    <t>1.0</t>
    <phoneticPr fontId="7" type="noConversion"/>
  </si>
  <si>
    <t>김재홍</t>
    <phoneticPr fontId="7" type="noConversion"/>
  </si>
  <si>
    <t>SKN-29_1st_prj_2team</t>
    <phoneticPr fontId="9" type="noConversion"/>
  </si>
  <si>
    <t>SKN-29_1st_prj_2team</t>
    <phoneticPr fontId="9" type="noConversion"/>
  </si>
  <si>
    <t>car_db</t>
    <phoneticPr fontId="7" type="noConversion"/>
  </si>
  <si>
    <t>MySQL</t>
    <phoneticPr fontId="7" type="noConversion"/>
  </si>
  <si>
    <t>김재홍, 김정민, 김지훈, 정영석</t>
    <phoneticPr fontId="7" type="noConversion"/>
  </si>
  <si>
    <t>dim_time</t>
  </si>
  <si>
    <t>time_id</t>
  </si>
  <si>
    <t>year</t>
  </si>
  <si>
    <t>cumul_sido</t>
  </si>
  <si>
    <t>sido_id</t>
  </si>
  <si>
    <t>new_foreign_domestic_sido</t>
  </si>
  <si>
    <t>imported_sigungu</t>
  </si>
  <si>
    <t>fuel_sido</t>
  </si>
  <si>
    <t>dim_sido</t>
  </si>
  <si>
    <t>dim_region</t>
  </si>
  <si>
    <t>car_sigungu</t>
  </si>
  <si>
    <t>age_gender_sido</t>
  </si>
  <si>
    <t>region_id</t>
  </si>
  <si>
    <t>passenger_imported</t>
  </si>
  <si>
    <t>fuel</t>
  </si>
  <si>
    <t>age</t>
  </si>
  <si>
    <t>gender</t>
  </si>
  <si>
    <t>int</t>
  </si>
  <si>
    <t>double</t>
  </si>
  <si>
    <t>bigint</t>
  </si>
  <si>
    <t>varchar(50)</t>
  </si>
  <si>
    <t>varchar(20)</t>
  </si>
  <si>
    <t>varchar(10)</t>
  </si>
  <si>
    <t>PRI</t>
  </si>
  <si>
    <t>MUL</t>
  </si>
  <si>
    <t>UNI</t>
  </si>
  <si>
    <t>NOT NULL</t>
  </si>
  <si>
    <t>NOT NULL</t>
    <phoneticPr fontId="7" type="noConversion"/>
  </si>
  <si>
    <t>차량등록수</t>
    <phoneticPr fontId="7" type="noConversion"/>
  </si>
  <si>
    <t>시도id명</t>
    <phoneticPr fontId="7" type="noConversion"/>
  </si>
  <si>
    <t>성별구분</t>
    <phoneticPr fontId="7" type="noConversion"/>
  </si>
  <si>
    <t>나이구분</t>
    <phoneticPr fontId="7" type="noConversion"/>
  </si>
  <si>
    <t>int</t>
    <phoneticPr fontId="7" type="noConversion"/>
  </si>
  <si>
    <t>NOT NULL</t>
    <phoneticPr fontId="7" type="noConversion"/>
  </si>
  <si>
    <t>연령-성별-시도 차량등록 현황 테이블</t>
    <phoneticPr fontId="7" type="noConversion"/>
  </si>
  <si>
    <t>시도 누적 차량등록 현황 테이블</t>
    <phoneticPr fontId="7" type="noConversion"/>
  </si>
  <si>
    <t>지역 테이블</t>
    <phoneticPr fontId="7" type="noConversion"/>
  </si>
  <si>
    <t>시도 테이블</t>
    <phoneticPr fontId="7" type="noConversion"/>
  </si>
  <si>
    <t>연월 테이블</t>
    <phoneticPr fontId="7" type="noConversion"/>
  </si>
  <si>
    <t>연료-시도 차량등록 현황 테이블</t>
    <phoneticPr fontId="7" type="noConversion"/>
  </si>
  <si>
    <t>외산/국산-지역 차량등록 현황 테이블</t>
    <phoneticPr fontId="7" type="noConversion"/>
  </si>
  <si>
    <t>지역별 차량등록 현황 테이블</t>
    <phoneticPr fontId="7" type="noConversion"/>
  </si>
  <si>
    <t>NOT NULL</t>
    <phoneticPr fontId="9" type="noConversion"/>
  </si>
  <si>
    <t>NOT NULL</t>
    <phoneticPr fontId="9" type="noConversion"/>
  </si>
  <si>
    <t>NOT NULL</t>
    <phoneticPr fontId="9" type="noConversion"/>
  </si>
  <si>
    <t>NOT NULL</t>
    <phoneticPr fontId="9" type="noConversion"/>
  </si>
  <si>
    <t>NOT NULL</t>
    <phoneticPr fontId="9" type="noConversion"/>
  </si>
  <si>
    <t>PRI</t>
    <phoneticPr fontId="9" type="noConversion"/>
  </si>
  <si>
    <t>UNI</t>
    <phoneticPr fontId="9" type="noConversion"/>
  </si>
  <si>
    <t>Columns List</t>
    <phoneticPr fontId="7" type="noConversion"/>
  </si>
  <si>
    <t>테이블명세서 v1.0</t>
    <phoneticPr fontId="7" type="noConversion"/>
  </si>
  <si>
    <t>연월id</t>
    <phoneticPr fontId="7" type="noConversion"/>
  </si>
  <si>
    <t>시도id</t>
    <phoneticPr fontId="7" type="noConversion"/>
  </si>
  <si>
    <t>지역id</t>
    <phoneticPr fontId="7" type="noConversion"/>
  </si>
  <si>
    <t>시군구명</t>
    <phoneticPr fontId="7" type="noConversion"/>
  </si>
  <si>
    <t>행번호</t>
    <phoneticPr fontId="7" type="noConversion"/>
  </si>
  <si>
    <t>시도id</t>
    <phoneticPr fontId="7" type="noConversion"/>
  </si>
  <si>
    <t>누적 차량등록수(국산)</t>
    <phoneticPr fontId="7" type="noConversion"/>
  </si>
  <si>
    <t>누적 차량등록수(외산)</t>
    <phoneticPr fontId="7" type="noConversion"/>
  </si>
  <si>
    <t>승용차량 등록수(자가)</t>
    <phoneticPr fontId="7" type="noConversion"/>
  </si>
  <si>
    <t>승용차량 등록수(자가+기타)</t>
    <phoneticPr fontId="7" type="noConversion"/>
  </si>
  <si>
    <t>시도id</t>
    <phoneticPr fontId="7" type="noConversion"/>
  </si>
  <si>
    <t>연료정보</t>
    <phoneticPr fontId="7" type="noConversion"/>
  </si>
  <si>
    <t>누적 차량등록수</t>
    <phoneticPr fontId="7" type="noConversion"/>
  </si>
  <si>
    <t>연월id</t>
    <phoneticPr fontId="7" type="noConversion"/>
  </si>
  <si>
    <t>지역id</t>
    <phoneticPr fontId="7" type="noConversion"/>
  </si>
  <si>
    <t>외산차량 등록수</t>
    <phoneticPr fontId="7" type="noConversion"/>
  </si>
  <si>
    <t>1인당종합소득금액(백만원)</t>
    <phoneticPr fontId="7" type="noConversion"/>
  </si>
  <si>
    <t>지역 총 종합소득금액</t>
    <phoneticPr fontId="7" type="noConversion"/>
  </si>
  <si>
    <t>연도구분</t>
    <phoneticPr fontId="7" type="noConversion"/>
  </si>
  <si>
    <t>시도구분</t>
    <phoneticPr fontId="7" type="noConversion"/>
  </si>
  <si>
    <t>연도구분</t>
    <phoneticPr fontId="7" type="noConversion"/>
  </si>
  <si>
    <t>월구분</t>
    <phoneticPr fontId="7" type="noConversion"/>
  </si>
  <si>
    <t>지역 신고 인원수</t>
    <phoneticPr fontId="7" type="noConversion"/>
  </si>
  <si>
    <t>지역id</t>
    <phoneticPr fontId="7" type="noConversion"/>
  </si>
  <si>
    <t>차량연식</t>
    <phoneticPr fontId="7" type="noConversion"/>
  </si>
  <si>
    <t>승용차량 등록수(자가)</t>
    <phoneticPr fontId="7" type="noConversion"/>
  </si>
  <si>
    <t>연도-연식별 차량등록 현황 테이블</t>
    <phoneticPr fontId="7" type="noConversion"/>
  </si>
  <si>
    <t>외산차량 등록 수</t>
    <phoneticPr fontId="7" type="noConversion"/>
  </si>
  <si>
    <t>신조차량 등록 수</t>
    <phoneticPr fontId="7" type="noConversion"/>
  </si>
  <si>
    <t>지역-종합소득 차량등록 현황 테이블</t>
    <phoneticPr fontId="7" type="noConversion"/>
  </si>
  <si>
    <t>외산/국산 차량등록 현황 테이블</t>
    <phoneticPr fontId="7" type="noConversion"/>
  </si>
  <si>
    <t>AUTO_INCREMENT</t>
    <phoneticPr fontId="7" type="noConversion"/>
  </si>
  <si>
    <t>db_name</t>
    <phoneticPr fontId="7" type="noConversion"/>
  </si>
  <si>
    <t>table_name</t>
    <phoneticPr fontId="7" type="noConversion"/>
  </si>
  <si>
    <t>프로젝트명</t>
    <phoneticPr fontId="7" type="noConversion"/>
  </si>
  <si>
    <t>int</t>
    <phoneticPr fontId="7" type="noConversion"/>
  </si>
  <si>
    <t>외산차량 등록 수</t>
    <phoneticPr fontId="7" type="noConversion"/>
  </si>
  <si>
    <t>행번호</t>
    <phoneticPr fontId="7" type="noConversion"/>
  </si>
  <si>
    <t>sido_id</t>
    <phoneticPr fontId="7" type="noConversion"/>
  </si>
  <si>
    <t>Road To Commit</t>
    <phoneticPr fontId="7" type="noConversion"/>
  </si>
  <si>
    <t>Copyright ⓒ Road To Commit</t>
    <phoneticPr fontId="9" type="noConversion"/>
  </si>
  <si>
    <t>자동차 시장 분석 및 의사결정 지원 플랫폼</t>
    <phoneticPr fontId="7" type="noConversion"/>
  </si>
  <si>
    <t>SKN-29_PRJ1__2team_자동차 시장 분석 및 의사결정 지원 플랫폼</t>
    <phoneticPr fontId="7" type="noConversion"/>
  </si>
  <si>
    <t>카테고리</t>
    <phoneticPr fontId="7" type="noConversion"/>
  </si>
  <si>
    <t>질문</t>
    <phoneticPr fontId="7" type="noConversion"/>
  </si>
  <si>
    <t>답변</t>
    <phoneticPr fontId="7" type="noConversion"/>
  </si>
  <si>
    <t>repair_faq</t>
    <phoneticPr fontId="7" type="noConversion"/>
  </si>
  <si>
    <t>VARCHAR(50)</t>
    <phoneticPr fontId="7" type="noConversion"/>
  </si>
  <si>
    <t>TEXT</t>
    <phoneticPr fontId="7" type="noConversion"/>
  </si>
  <si>
    <t>repair_faq</t>
    <phoneticPr fontId="7" type="noConversion"/>
  </si>
  <si>
    <t>카테고리명</t>
    <phoneticPr fontId="7" type="noConversion"/>
  </si>
  <si>
    <t>질문내용</t>
    <phoneticPr fontId="7" type="noConversion"/>
  </si>
  <si>
    <t>답변내용</t>
    <phoneticPr fontId="7" type="noConversion"/>
  </si>
  <si>
    <t>우리조</t>
    <phoneticPr fontId="7" type="noConversion"/>
  </si>
  <si>
    <t>FAQ 현황 테이블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</si>
</sst>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>
    <font>
      <sz val="10"/>
      <color rgb="FF000000"/>
      <name val="Arial"/>
    </font>
    <font>
      <sz val="11"/>
      <color theme="1"/>
      <name val="Arial"/>
      <family val="2"/>
      <charset val="129"/>
      <scheme val="minor"/>
    </font>
    <font>
      <sz val="10"/>
      <color rgb="FF000000"/>
      <name val="Calibri"/>
      <family val="2"/>
    </font>
    <font>
      <sz val="10"/>
      <color rgb="FF000000"/>
      <name val="&quot;Malgun Gothic&quot;"/>
    </font>
    <font>
      <b/>
      <sz val="10"/>
      <color rgb="FF000000"/>
      <name val="&quot;Malgun Gothic&quot;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4"/>
      <color theme="1"/>
      <name val="Arial"/>
      <family val="3"/>
      <charset val="129"/>
      <scheme val="minor"/>
    </font>
    <font>
      <sz val="8"/>
      <name val="Arial"/>
      <family val="2"/>
      <charset val="129"/>
      <scheme val="minor"/>
    </font>
    <font>
      <b/>
      <sz val="40"/>
      <color theme="1"/>
      <name val="Arial"/>
      <family val="3"/>
      <charset val="129"/>
      <scheme val="minor"/>
    </font>
    <font>
      <sz val="20"/>
      <color theme="1"/>
      <name val="Arial"/>
      <family val="3"/>
      <charset val="129"/>
      <scheme val="minor"/>
    </font>
    <font>
      <b/>
      <sz val="20"/>
      <color theme="1"/>
      <name val="Arial"/>
      <family val="3"/>
      <charset val="129"/>
      <scheme val="minor"/>
    </font>
    <font>
      <sz val="11"/>
      <color theme="1"/>
      <name val="Arial"/>
      <family val="3"/>
      <charset val="129"/>
      <scheme val="minor"/>
    </font>
    <font>
      <b/>
      <sz val="14"/>
      <color theme="1"/>
      <name val="Arial"/>
      <family val="3"/>
      <charset val="129"/>
      <scheme val="minor"/>
    </font>
    <font>
      <sz val="14"/>
      <color theme="1"/>
      <name val="Arial"/>
      <family val="3"/>
      <charset val="129"/>
      <scheme val="minor"/>
    </font>
    <font>
      <b/>
      <u/>
      <sz val="20"/>
      <color theme="1"/>
      <name val="Arial"/>
      <family val="3"/>
      <charset val="129"/>
      <scheme val="minor"/>
    </font>
    <font>
      <sz val="13"/>
      <color theme="1"/>
      <name val="Arial"/>
      <family val="3"/>
      <charset val="129"/>
      <scheme val="minor"/>
    </font>
    <font>
      <b/>
      <sz val="13"/>
      <color rgb="FF000000"/>
      <name val="맑은 고딕"/>
      <family val="3"/>
      <charset val="129"/>
    </font>
    <font>
      <b/>
      <sz val="13"/>
      <color theme="1"/>
      <name val="Arial"/>
      <family val="3"/>
      <charset val="129"/>
      <scheme val="minor"/>
    </font>
    <font>
      <b/>
      <vertAlign val="superscript"/>
      <sz val="13"/>
      <color theme="1"/>
      <name val="Arial"/>
      <family val="3"/>
      <charset val="129"/>
      <scheme val="minor"/>
    </font>
    <font>
      <sz val="12"/>
      <color theme="1"/>
      <name val="Arial"/>
      <family val="3"/>
      <charset val="129"/>
      <scheme val="minor"/>
    </font>
    <font>
      <sz val="12"/>
      <color theme="1"/>
      <name val="맑은 고딕"/>
      <family val="3"/>
      <charset val="129"/>
    </font>
    <font>
      <sz val="2"/>
      <color theme="1"/>
      <name val="Arial"/>
      <family val="2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charset val="129"/>
      <scheme val="minor"/>
    </font>
    <font>
      <sz val="10"/>
      <color rgb="FF000000"/>
      <name val="Arial"/>
      <family val="2"/>
    </font>
    <font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name val="Arial"/>
      <family val="2"/>
    </font>
    <font>
      <b/>
      <sz val="1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20"/>
      <color theme="1"/>
      <name val="Arial"/>
      <family val="2"/>
      <scheme val="minor"/>
    </font>
    <font>
      <sz val="10"/>
      <color rgb="FF00000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5">
    <xf numFmtId="0" fontId="0" fillId="0" borderId="0" xfId="0">
      <alignment vertical="center"/>
    </xf>
    <xf numFmtId="0" fontId="0" fillId="0" borderId="0" xfId="0" applyAlignment="1"/>
    <xf numFmtId="0" fontId="3" fillId="0" borderId="2" xfId="0" applyFont="1" applyBorder="1" applyAlignment="1">
      <alignment horizontal="center" vertical="center"/>
    </xf>
    <xf numFmtId="0" fontId="1" fillId="6" borderId="0" xfId="1" applyFill="1" applyBorder="1">
      <alignment vertical="center"/>
    </xf>
    <xf numFmtId="0" fontId="11" fillId="6" borderId="0" xfId="1" applyFont="1" applyFill="1" applyBorder="1">
      <alignment vertical="center"/>
    </xf>
    <xf numFmtId="0" fontId="12" fillId="6" borderId="0" xfId="1" applyFont="1" applyFill="1" applyBorder="1" applyAlignment="1">
      <alignment horizontal="right" vertical="center"/>
    </xf>
    <xf numFmtId="0" fontId="14" fillId="0" borderId="7" xfId="1" applyFont="1" applyBorder="1">
      <alignment vertical="center"/>
    </xf>
    <xf numFmtId="0" fontId="15" fillId="0" borderId="7" xfId="1" applyFont="1" applyBorder="1">
      <alignment vertical="center"/>
    </xf>
    <xf numFmtId="49" fontId="1" fillId="0" borderId="0" xfId="1" applyNumberFormat="1">
      <alignment vertical="center"/>
    </xf>
    <xf numFmtId="0" fontId="1" fillId="0" borderId="0" xfId="1">
      <alignment vertical="center"/>
    </xf>
    <xf numFmtId="49" fontId="11" fillId="0" borderId="0" xfId="1" applyNumberFormat="1" applyFont="1">
      <alignment vertical="center"/>
    </xf>
    <xf numFmtId="0" fontId="11" fillId="0" borderId="0" xfId="1" applyFont="1">
      <alignment vertical="center"/>
    </xf>
    <xf numFmtId="0" fontId="17" fillId="0" borderId="0" xfId="1" applyFont="1">
      <alignment vertical="center"/>
    </xf>
    <xf numFmtId="49" fontId="18" fillId="7" borderId="2" xfId="1" applyNumberFormat="1" applyFont="1" applyFill="1" applyBorder="1" applyAlignment="1">
      <alignment horizontal="center" vertical="center" wrapText="1"/>
    </xf>
    <xf numFmtId="0" fontId="18" fillId="7" borderId="2" xfId="1" applyFont="1" applyFill="1" applyBorder="1" applyAlignment="1">
      <alignment horizontal="center" vertical="center" wrapText="1"/>
    </xf>
    <xf numFmtId="0" fontId="19" fillId="5" borderId="2" xfId="1" applyFont="1" applyFill="1" applyBorder="1" applyAlignment="1">
      <alignment horizontal="center" vertical="center"/>
    </xf>
    <xf numFmtId="0" fontId="21" fillId="0" borderId="0" xfId="1" applyFont="1">
      <alignment vertical="center"/>
    </xf>
    <xf numFmtId="49" fontId="22" fillId="0" borderId="2" xfId="1" applyNumberFormat="1" applyFont="1" applyBorder="1" applyAlignment="1">
      <alignment horizontal="center" vertical="center" wrapText="1"/>
    </xf>
    <xf numFmtId="14" fontId="22" fillId="0" borderId="2" xfId="1" applyNumberFormat="1" applyFont="1" applyBorder="1" applyAlignment="1">
      <alignment horizontal="center" vertical="center" wrapText="1"/>
    </xf>
    <xf numFmtId="0" fontId="22" fillId="0" borderId="2" xfId="1" applyFont="1" applyBorder="1" applyAlignment="1">
      <alignment horizontal="justify" vertical="center" wrapText="1"/>
    </xf>
    <xf numFmtId="0" fontId="22" fillId="0" borderId="2" xfId="1" applyFont="1" applyBorder="1" applyAlignment="1">
      <alignment horizontal="center" vertical="center" wrapText="1"/>
    </xf>
    <xf numFmtId="0" fontId="22" fillId="0" borderId="2" xfId="1" applyFont="1" applyBorder="1" applyAlignment="1">
      <alignment horizontal="left" vertical="center" wrapText="1"/>
    </xf>
    <xf numFmtId="49" fontId="21" fillId="0" borderId="2" xfId="1" applyNumberFormat="1" applyFont="1" applyBorder="1">
      <alignment vertical="center"/>
    </xf>
    <xf numFmtId="0" fontId="21" fillId="0" borderId="2" xfId="1" applyFont="1" applyBorder="1">
      <alignment vertical="center"/>
    </xf>
    <xf numFmtId="49" fontId="23" fillId="0" borderId="0" xfId="1" applyNumberFormat="1" applyFont="1">
      <alignment vertical="center"/>
    </xf>
    <xf numFmtId="0" fontId="23" fillId="0" borderId="0" xfId="1" applyFont="1">
      <alignment vertical="center"/>
    </xf>
    <xf numFmtId="0" fontId="24" fillId="0" borderId="0" xfId="1" applyFont="1">
      <alignment vertical="center"/>
    </xf>
    <xf numFmtId="0" fontId="2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Fill="1" applyBorder="1">
      <alignment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28" fillId="0" borderId="0" xfId="0" applyFont="1" applyFill="1" applyBorder="1" applyAlignment="1">
      <alignment horizontal="left" vertical="center"/>
    </xf>
    <xf numFmtId="0" fontId="29" fillId="0" borderId="0" xfId="0" applyFont="1" applyFill="1" applyBorder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/>
    <xf numFmtId="0" fontId="5" fillId="0" borderId="0" xfId="0" applyFont="1" applyFill="1" applyAlignment="1"/>
    <xf numFmtId="0" fontId="5" fillId="0" borderId="0" xfId="0" applyFont="1" applyFill="1">
      <alignment vertical="center"/>
    </xf>
    <xf numFmtId="0" fontId="6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31" fillId="2" borderId="2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7" fillId="0" borderId="2" xfId="0" applyFont="1" applyBorder="1" applyAlignment="1">
      <alignment horizontal="center"/>
    </xf>
    <xf numFmtId="0" fontId="27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/>
    </xf>
    <xf numFmtId="0" fontId="29" fillId="0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33" fillId="6" borderId="0" xfId="1" applyFont="1" applyFill="1" applyBorder="1">
      <alignment vertical="center"/>
    </xf>
    <xf numFmtId="0" fontId="34" fillId="0" borderId="2" xfId="0" applyFont="1" applyFill="1" applyBorder="1" applyAlignment="1">
      <alignment horizontal="center" vertical="center"/>
    </xf>
    <xf numFmtId="0" fontId="8" fillId="6" borderId="0" xfId="1" applyFont="1" applyFill="1" applyBorder="1" applyAlignment="1">
      <alignment horizontal="right" vertical="center"/>
    </xf>
    <xf numFmtId="0" fontId="10" fillId="6" borderId="6" xfId="1" applyFont="1" applyFill="1" applyBorder="1" applyAlignment="1">
      <alignment horizontal="right" vertical="center"/>
    </xf>
    <xf numFmtId="0" fontId="13" fillId="6" borderId="0" xfId="1" applyFont="1" applyFill="1" applyBorder="1" applyAlignment="1">
      <alignment horizontal="center" vertical="center" wrapText="1"/>
    </xf>
    <xf numFmtId="0" fontId="13" fillId="6" borderId="0" xfId="1" applyFont="1" applyFill="1" applyBorder="1" applyAlignment="1">
      <alignment horizontal="center" vertical="center"/>
    </xf>
    <xf numFmtId="0" fontId="1" fillId="6" borderId="0" xfId="1" applyFill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31" fillId="8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5" fillId="5" borderId="11" xfId="0" applyFont="1" applyFill="1" applyBorder="1">
      <alignment vertical="center"/>
    </xf>
    <xf numFmtId="0" fontId="31" fillId="0" borderId="3" xfId="0" applyFont="1" applyBorder="1" applyAlignment="1">
      <alignment horizontal="left" vertical="center"/>
    </xf>
    <xf numFmtId="0" fontId="31" fillId="0" borderId="1" xfId="0" applyFont="1" applyBorder="1">
      <alignment vertical="center"/>
    </xf>
    <xf numFmtId="0" fontId="31" fillId="0" borderId="11" xfId="0" applyFont="1" applyBorder="1">
      <alignment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5" fillId="5" borderId="14" xfId="0" applyFont="1" applyFill="1" applyBorder="1">
      <alignment vertical="center"/>
    </xf>
    <xf numFmtId="0" fontId="31" fillId="0" borderId="15" xfId="0" applyFont="1" applyBorder="1" applyAlignment="1">
      <alignment horizontal="left" vertical="center"/>
    </xf>
    <xf numFmtId="0" fontId="31" fillId="0" borderId="13" xfId="0" applyFont="1" applyBorder="1">
      <alignment vertical="center"/>
    </xf>
    <xf numFmtId="0" fontId="31" fillId="0" borderId="14" xfId="0" applyFont="1" applyBorder="1">
      <alignment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7" xfId="0" applyFont="1" applyBorder="1">
      <alignment vertical="center"/>
    </xf>
    <xf numFmtId="0" fontId="5" fillId="0" borderId="18" xfId="0" applyFont="1" applyBorder="1">
      <alignment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0" borderId="9" xfId="0" applyFont="1" applyBorder="1">
      <alignment vertical="center"/>
    </xf>
    <xf numFmtId="0" fontId="28" fillId="0" borderId="5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14" fontId="6" fillId="0" borderId="5" xfId="0" applyNumberFormat="1" applyFont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5" fillId="5" borderId="9" xfId="0" applyFont="1" applyFill="1" applyBorder="1">
      <alignment vertical="center"/>
    </xf>
    <xf numFmtId="0" fontId="6" fillId="0" borderId="5" xfId="0" applyFont="1" applyBorder="1" applyAlignment="1">
      <alignment horizontal="left" vertical="center"/>
    </xf>
    <xf numFmtId="0" fontId="31" fillId="0" borderId="5" xfId="0" applyFont="1" applyBorder="1">
      <alignment vertical="center"/>
    </xf>
    <xf numFmtId="0" fontId="31" fillId="0" borderId="9" xfId="0" applyFont="1" applyBorder="1">
      <alignment vertical="center"/>
    </xf>
    <xf numFmtId="0" fontId="32" fillId="3" borderId="16" xfId="0" applyFont="1" applyFill="1" applyBorder="1" applyAlignment="1">
      <alignment horizontal="center" vertical="center"/>
    </xf>
    <xf numFmtId="0" fontId="32" fillId="3" borderId="17" xfId="0" applyFont="1" applyFill="1" applyBorder="1" applyAlignment="1">
      <alignment horizontal="center" vertical="center"/>
    </xf>
    <xf numFmtId="0" fontId="32" fillId="3" borderId="18" xfId="0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Light Style 1 - Accent 1" table="0" count="7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abSelected="1" view="pageBreakPreview" zoomScaleNormal="85" zoomScaleSheetLayoutView="100" workbookViewId="0">
      <selection activeCell="F4" sqref="F4"/>
    </sheetView>
  </sheetViews>
  <sheetFormatPr defaultRowHeight="12.75"/>
  <sheetData>
    <row r="1" spans="1:19" ht="14.25">
      <c r="A1" s="63"/>
      <c r="B1" s="63"/>
      <c r="C1" s="6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30">
      <c r="A2" s="63"/>
      <c r="B2" s="63"/>
      <c r="C2" s="63"/>
      <c r="D2" s="60" t="s">
        <v>69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3" spans="1:19" ht="14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4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51" thickBot="1">
      <c r="A5" s="61" t="s">
        <v>24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</row>
    <row r="6" spans="1:19" ht="25.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ht="25.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ht="25.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ht="26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5" t="s">
        <v>70</v>
      </c>
    </row>
    <row r="10" spans="1:19" ht="26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5" t="s">
        <v>66</v>
      </c>
    </row>
    <row r="11" spans="1:19" ht="25.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ht="25.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ht="25.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63"/>
      <c r="R13" s="64"/>
      <c r="S13" s="64"/>
    </row>
    <row r="14" spans="1:19" ht="25.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64"/>
      <c r="R14" s="64"/>
      <c r="S14" s="64"/>
    </row>
    <row r="15" spans="1:19" ht="26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8" t="s">
        <v>164</v>
      </c>
      <c r="S15" s="4"/>
    </row>
    <row r="16" spans="1:19" ht="14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4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4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4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4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4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4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4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4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4.25">
      <c r="A25" s="62" t="s">
        <v>165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</row>
  </sheetData>
  <mergeCells count="5">
    <mergeCell ref="D2:S2"/>
    <mergeCell ref="A5:S5"/>
    <mergeCell ref="A25:S25"/>
    <mergeCell ref="A1:C2"/>
    <mergeCell ref="Q13:S14"/>
  </mergeCells>
  <phoneticPr fontId="7" type="noConversion"/>
  <pageMargins left="0.7" right="0.7" top="0.75" bottom="0.75" header="0.3" footer="0.3"/>
  <pageSetup paperSize="9" scale="51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view="pageBreakPreview" topLeftCell="B1" zoomScale="145" zoomScaleNormal="115" zoomScaleSheetLayoutView="145" workbookViewId="0">
      <selection activeCell="E3" sqref="E3"/>
    </sheetView>
  </sheetViews>
  <sheetFormatPr defaultRowHeight="12.75"/>
  <cols>
    <col min="3" max="3" width="14" customWidth="1"/>
    <col min="4" max="4" width="14.7109375" bestFit="1" customWidth="1"/>
    <col min="5" max="5" width="20.7109375" customWidth="1"/>
    <col min="6" max="8" width="9.28515625" bestFit="1" customWidth="1"/>
  </cols>
  <sheetData>
    <row r="1" spans="1:10" ht="18.75" thickBot="1">
      <c r="A1" s="6"/>
      <c r="B1" s="7"/>
      <c r="C1" s="7"/>
      <c r="D1" s="7"/>
      <c r="E1" s="7"/>
      <c r="F1" s="7"/>
      <c r="G1" s="7"/>
      <c r="H1" s="7"/>
      <c r="I1" s="7"/>
      <c r="J1" s="7"/>
    </row>
    <row r="2" spans="1:10" ht="15" thickTop="1">
      <c r="A2" s="8"/>
      <c r="B2" s="9"/>
      <c r="C2" s="9"/>
      <c r="D2" s="9"/>
      <c r="E2" s="9"/>
      <c r="F2" s="9"/>
      <c r="G2" s="9"/>
      <c r="H2" s="9"/>
      <c r="I2" s="9"/>
      <c r="J2" s="9"/>
    </row>
    <row r="3" spans="1:10" ht="14.25">
      <c r="A3" s="8"/>
      <c r="B3" s="9"/>
      <c r="C3" s="9"/>
      <c r="D3" s="9"/>
      <c r="E3" s="9"/>
      <c r="F3" s="9"/>
      <c r="G3" s="9"/>
      <c r="H3" s="9"/>
      <c r="I3" s="9"/>
      <c r="J3" s="9"/>
    </row>
    <row r="4" spans="1:10" ht="14.25">
      <c r="A4" s="8"/>
      <c r="B4" s="9"/>
      <c r="C4" s="9"/>
      <c r="D4" s="9"/>
      <c r="E4" s="9"/>
      <c r="F4" s="9"/>
      <c r="G4" s="9"/>
      <c r="H4" s="9"/>
      <c r="I4" s="9"/>
      <c r="J4" s="9"/>
    </row>
    <row r="5" spans="1:10" ht="26.25">
      <c r="A5" s="10"/>
      <c r="B5" s="11"/>
      <c r="C5" s="65" t="s">
        <v>15</v>
      </c>
      <c r="D5" s="66"/>
      <c r="E5" s="66"/>
      <c r="F5" s="66"/>
      <c r="G5" s="66"/>
      <c r="H5" s="66"/>
      <c r="I5" s="11"/>
      <c r="J5" s="11"/>
    </row>
    <row r="6" spans="1:10" ht="14.25">
      <c r="A6" s="8"/>
      <c r="B6" s="9"/>
      <c r="C6" s="9"/>
      <c r="D6" s="9"/>
      <c r="E6" s="9"/>
      <c r="F6" s="9"/>
      <c r="G6" s="9"/>
      <c r="H6" s="9"/>
      <c r="I6" s="9"/>
      <c r="J6" s="9"/>
    </row>
    <row r="7" spans="1:10" ht="14.25">
      <c r="A7" s="8"/>
      <c r="B7" s="9"/>
      <c r="C7" s="9"/>
      <c r="D7" s="9"/>
      <c r="E7" s="9"/>
      <c r="F7" s="9"/>
      <c r="G7" s="9"/>
      <c r="H7" s="9"/>
      <c r="I7" s="9"/>
      <c r="J7" s="9"/>
    </row>
    <row r="8" spans="1:10" ht="19.5">
      <c r="A8" s="12"/>
      <c r="B8" s="12"/>
      <c r="C8" s="13" t="s">
        <v>16</v>
      </c>
      <c r="D8" s="14" t="s">
        <v>17</v>
      </c>
      <c r="E8" s="15" t="s">
        <v>18</v>
      </c>
      <c r="F8" s="14" t="s">
        <v>0</v>
      </c>
      <c r="G8" s="14" t="s">
        <v>19</v>
      </c>
      <c r="H8" s="14" t="s">
        <v>20</v>
      </c>
      <c r="I8" s="12"/>
      <c r="J8" s="12"/>
    </row>
    <row r="9" spans="1:10" ht="17.25">
      <c r="A9" s="16"/>
      <c r="B9" s="16"/>
      <c r="C9" s="17" t="s">
        <v>25</v>
      </c>
      <c r="D9" s="18">
        <v>45744</v>
      </c>
      <c r="E9" s="20" t="s">
        <v>21</v>
      </c>
      <c r="F9" s="20" t="s">
        <v>23</v>
      </c>
      <c r="G9" s="20" t="s">
        <v>178</v>
      </c>
      <c r="H9" s="20" t="s">
        <v>178</v>
      </c>
      <c r="I9" s="16"/>
      <c r="J9" s="16"/>
    </row>
    <row r="10" spans="1:10" ht="17.25">
      <c r="A10" s="16"/>
      <c r="B10" s="16"/>
      <c r="C10" s="17" t="s">
        <v>62</v>
      </c>
      <c r="D10" s="18">
        <v>45745</v>
      </c>
      <c r="E10" s="20" t="s">
        <v>63</v>
      </c>
      <c r="F10" s="20" t="s">
        <v>23</v>
      </c>
      <c r="G10" s="20" t="s">
        <v>178</v>
      </c>
      <c r="H10" s="20" t="s">
        <v>178</v>
      </c>
      <c r="I10" s="16"/>
      <c r="J10" s="16"/>
    </row>
    <row r="11" spans="1:10" ht="17.25">
      <c r="A11" s="16"/>
      <c r="B11" s="16"/>
      <c r="C11" s="17" t="s">
        <v>67</v>
      </c>
      <c r="D11" s="18">
        <v>45747</v>
      </c>
      <c r="E11" s="21" t="s">
        <v>124</v>
      </c>
      <c r="F11" s="20" t="s">
        <v>68</v>
      </c>
      <c r="G11" s="20" t="s">
        <v>178</v>
      </c>
      <c r="H11" s="20" t="s">
        <v>178</v>
      </c>
      <c r="I11" s="16"/>
      <c r="J11" s="16"/>
    </row>
    <row r="12" spans="1:10" ht="17.25">
      <c r="A12" s="16"/>
      <c r="B12" s="16"/>
      <c r="C12" s="17"/>
      <c r="D12" s="20"/>
      <c r="E12" s="19"/>
      <c r="F12" s="20"/>
      <c r="G12" s="20"/>
      <c r="H12" s="20"/>
      <c r="I12" s="16"/>
      <c r="J12" s="16"/>
    </row>
    <row r="13" spans="1:10" ht="17.25">
      <c r="A13" s="16"/>
      <c r="B13" s="16"/>
      <c r="C13" s="17"/>
      <c r="D13" s="20"/>
      <c r="E13" s="19"/>
      <c r="F13" s="20"/>
      <c r="G13" s="20"/>
      <c r="H13" s="20"/>
      <c r="I13" s="16"/>
      <c r="J13" s="16"/>
    </row>
    <row r="14" spans="1:10" ht="17.25">
      <c r="A14" s="16"/>
      <c r="B14" s="16"/>
      <c r="C14" s="17"/>
      <c r="D14" s="20"/>
      <c r="E14" s="19"/>
      <c r="F14" s="20"/>
      <c r="G14" s="20"/>
      <c r="H14" s="20"/>
      <c r="I14" s="16"/>
      <c r="J14" s="16"/>
    </row>
    <row r="15" spans="1:10" ht="17.25">
      <c r="A15" s="16"/>
      <c r="B15" s="16"/>
      <c r="C15" s="17"/>
      <c r="D15" s="20"/>
      <c r="E15" s="19"/>
      <c r="F15" s="20"/>
      <c r="G15" s="20"/>
      <c r="H15" s="20"/>
      <c r="I15" s="16"/>
      <c r="J15" s="16"/>
    </row>
    <row r="16" spans="1:10" ht="17.25">
      <c r="A16" s="16"/>
      <c r="B16" s="16"/>
      <c r="C16" s="17"/>
      <c r="D16" s="20"/>
      <c r="E16" s="19"/>
      <c r="F16" s="20"/>
      <c r="G16" s="20"/>
      <c r="H16" s="20"/>
      <c r="I16" s="16"/>
      <c r="J16" s="16"/>
    </row>
    <row r="17" spans="1:10" ht="17.25">
      <c r="A17" s="16"/>
      <c r="B17" s="16"/>
      <c r="C17" s="17"/>
      <c r="D17" s="20"/>
      <c r="E17" s="19"/>
      <c r="F17" s="20"/>
      <c r="G17" s="20"/>
      <c r="H17" s="20"/>
      <c r="I17" s="16"/>
      <c r="J17" s="16"/>
    </row>
    <row r="18" spans="1:10" ht="17.25">
      <c r="A18" s="16"/>
      <c r="B18" s="16"/>
      <c r="C18" s="17"/>
      <c r="D18" s="20"/>
      <c r="E18" s="19"/>
      <c r="F18" s="20"/>
      <c r="G18" s="20"/>
      <c r="H18" s="20"/>
      <c r="I18" s="16"/>
      <c r="J18" s="16"/>
    </row>
    <row r="19" spans="1:10" ht="15">
      <c r="A19" s="16"/>
      <c r="B19" s="16"/>
      <c r="C19" s="22"/>
      <c r="D19" s="23"/>
      <c r="E19" s="23"/>
      <c r="F19" s="23"/>
      <c r="G19" s="23"/>
      <c r="H19" s="23"/>
      <c r="I19" s="16"/>
      <c r="J19" s="16"/>
    </row>
    <row r="20" spans="1:10" ht="15">
      <c r="A20" s="16"/>
      <c r="B20" s="16"/>
      <c r="C20" s="22"/>
      <c r="D20" s="23"/>
      <c r="E20" s="23"/>
      <c r="F20" s="23"/>
      <c r="G20" s="23"/>
      <c r="H20" s="23"/>
      <c r="I20" s="16"/>
      <c r="J20" s="16"/>
    </row>
    <row r="21" spans="1:10" ht="15">
      <c r="A21" s="16"/>
      <c r="B21" s="16"/>
      <c r="C21" s="22"/>
      <c r="D21" s="23"/>
      <c r="E21" s="23"/>
      <c r="F21" s="23"/>
      <c r="G21" s="23"/>
      <c r="H21" s="23"/>
      <c r="I21" s="16"/>
      <c r="J21" s="16"/>
    </row>
    <row r="22" spans="1:10">
      <c r="A22" s="24"/>
      <c r="B22" s="25"/>
      <c r="C22" s="25"/>
      <c r="D22" s="25"/>
      <c r="E22" s="25"/>
      <c r="F22" s="25"/>
      <c r="G22" s="25"/>
      <c r="H22" s="25"/>
      <c r="I22" s="25"/>
      <c r="J22" s="25"/>
    </row>
    <row r="23" spans="1:10" ht="14.25">
      <c r="A23" s="8"/>
      <c r="B23" s="26"/>
      <c r="C23" s="26" t="s">
        <v>22</v>
      </c>
      <c r="D23" s="26"/>
      <c r="E23" s="26"/>
      <c r="F23" s="9"/>
      <c r="G23" s="9"/>
      <c r="H23" s="9"/>
      <c r="I23" s="9"/>
      <c r="J23" s="9"/>
    </row>
  </sheetData>
  <mergeCells count="1">
    <mergeCell ref="C5:H5"/>
  </mergeCells>
  <phoneticPr fontId="7" type="noConversion"/>
  <pageMargins left="0.7" right="0.7" top="0.75" bottom="0.75" header="0.3" footer="0.3"/>
  <pageSetup paperSize="9" scale="71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7"/>
  <sheetViews>
    <sheetView view="pageBreakPreview" zoomScale="115" zoomScaleNormal="100" zoomScaleSheetLayoutView="115" workbookViewId="0">
      <selection activeCell="E9" sqref="E9"/>
    </sheetView>
  </sheetViews>
  <sheetFormatPr defaultColWidth="12.42578125" defaultRowHeight="13.5"/>
  <cols>
    <col min="1" max="1" width="8.140625" style="36" customWidth="1"/>
    <col min="2" max="2" width="10.140625" style="36" hidden="1" customWidth="1"/>
    <col min="3" max="3" width="6.140625" style="36" hidden="1" customWidth="1"/>
    <col min="4" max="4" width="32.28515625" style="36" customWidth="1"/>
    <col min="5" max="5" width="14.28515625" style="36" bestFit="1" customWidth="1"/>
    <col min="6" max="6" width="26.42578125" style="37" customWidth="1"/>
    <col min="7" max="7" width="27.140625" style="36" bestFit="1" customWidth="1"/>
    <col min="8" max="8" width="11.85546875" style="36" customWidth="1"/>
    <col min="9" max="9" width="7.42578125" style="36" hidden="1" customWidth="1"/>
    <col min="10" max="10" width="10.7109375" style="36" customWidth="1"/>
    <col min="11" max="11" width="6.5703125" style="36" hidden="1" customWidth="1"/>
    <col min="12" max="12" width="10.5703125" style="36" bestFit="1" customWidth="1"/>
    <col min="13" max="13" width="19.5703125" style="37" bestFit="1" customWidth="1"/>
    <col min="14" max="14" width="42.85546875" style="37" customWidth="1"/>
    <col min="15" max="15" width="11.140625" style="36" hidden="1" customWidth="1"/>
    <col min="16" max="16" width="5.42578125" style="36" bestFit="1" customWidth="1"/>
    <col min="17" max="16384" width="12.42578125" style="36"/>
  </cols>
  <sheetData>
    <row r="1" spans="1:20" ht="14.25" thickBot="1">
      <c r="A1" s="83" t="s">
        <v>7</v>
      </c>
      <c r="B1" s="84"/>
      <c r="C1" s="84"/>
      <c r="D1" s="84"/>
      <c r="E1" s="84"/>
      <c r="F1" s="85"/>
      <c r="G1" s="85"/>
      <c r="H1" s="85"/>
      <c r="I1" s="85"/>
      <c r="J1" s="85"/>
      <c r="K1" s="85"/>
      <c r="L1" s="85"/>
      <c r="M1" s="85"/>
      <c r="N1" s="85"/>
      <c r="O1" s="85"/>
      <c r="P1" s="86"/>
    </row>
    <row r="2" spans="1:20">
      <c r="A2" s="87" t="s">
        <v>8</v>
      </c>
      <c r="B2" s="88"/>
      <c r="C2" s="88"/>
      <c r="D2" s="88"/>
      <c r="E2" s="88"/>
      <c r="F2" s="89"/>
      <c r="G2" s="90" t="s">
        <v>166</v>
      </c>
      <c r="H2" s="91"/>
      <c r="I2" s="91"/>
      <c r="J2" s="91"/>
      <c r="K2" s="91"/>
      <c r="L2" s="91"/>
      <c r="M2" s="91"/>
      <c r="N2" s="91"/>
      <c r="O2" s="91"/>
      <c r="P2" s="92"/>
    </row>
    <row r="3" spans="1:20">
      <c r="A3" s="87" t="s">
        <v>0</v>
      </c>
      <c r="B3" s="88"/>
      <c r="C3" s="88"/>
      <c r="D3" s="88"/>
      <c r="E3" s="88"/>
      <c r="F3" s="89"/>
      <c r="G3" s="93" t="s">
        <v>73</v>
      </c>
      <c r="H3" s="94"/>
      <c r="I3" s="94"/>
      <c r="J3" s="94"/>
      <c r="K3" s="94"/>
      <c r="L3" s="94"/>
      <c r="M3" s="94"/>
      <c r="N3" s="94"/>
      <c r="O3" s="94"/>
      <c r="P3" s="89"/>
    </row>
    <row r="4" spans="1:20">
      <c r="A4" s="87" t="s">
        <v>2</v>
      </c>
      <c r="B4" s="88"/>
      <c r="C4" s="88"/>
      <c r="D4" s="88"/>
      <c r="E4" s="88"/>
      <c r="F4" s="89"/>
      <c r="G4" s="95">
        <v>45747</v>
      </c>
      <c r="H4" s="94"/>
      <c r="I4" s="94"/>
      <c r="J4" s="94"/>
      <c r="K4" s="94"/>
      <c r="L4" s="94"/>
      <c r="M4" s="94"/>
      <c r="N4" s="94"/>
      <c r="O4" s="94"/>
      <c r="P4" s="89"/>
    </row>
    <row r="5" spans="1:20">
      <c r="A5" s="96" t="s">
        <v>159</v>
      </c>
      <c r="B5" s="97"/>
      <c r="C5" s="97"/>
      <c r="D5" s="97"/>
      <c r="E5" s="97"/>
      <c r="F5" s="98"/>
      <c r="G5" s="99" t="s">
        <v>167</v>
      </c>
      <c r="H5" s="94"/>
      <c r="I5" s="94"/>
      <c r="J5" s="94"/>
      <c r="K5" s="94"/>
      <c r="L5" s="94"/>
      <c r="M5" s="94"/>
      <c r="N5" s="94"/>
      <c r="O5" s="94"/>
      <c r="P5" s="89"/>
    </row>
    <row r="6" spans="1:20">
      <c r="A6" s="96" t="s">
        <v>13</v>
      </c>
      <c r="B6" s="97"/>
      <c r="C6" s="97"/>
      <c r="D6" s="97"/>
      <c r="E6" s="97"/>
      <c r="F6" s="98"/>
      <c r="G6" s="100" t="s">
        <v>72</v>
      </c>
      <c r="H6" s="100"/>
      <c r="I6" s="100"/>
      <c r="J6" s="100"/>
      <c r="K6" s="100"/>
      <c r="L6" s="100"/>
      <c r="M6" s="100"/>
      <c r="N6" s="100"/>
      <c r="O6" s="100"/>
      <c r="P6" s="101"/>
    </row>
    <row r="7" spans="1:20">
      <c r="A7" s="71" t="s">
        <v>157</v>
      </c>
      <c r="B7" s="72"/>
      <c r="C7" s="72"/>
      <c r="D7" s="72"/>
      <c r="E7" s="72"/>
      <c r="F7" s="73"/>
      <c r="G7" s="74" t="s">
        <v>71</v>
      </c>
      <c r="H7" s="75"/>
      <c r="I7" s="75"/>
      <c r="J7" s="75"/>
      <c r="K7" s="75"/>
      <c r="L7" s="75"/>
      <c r="M7" s="75"/>
      <c r="N7" s="75"/>
      <c r="O7" s="75"/>
      <c r="P7" s="76"/>
      <c r="Q7" s="37"/>
      <c r="R7" s="37"/>
      <c r="S7" s="37"/>
      <c r="T7" s="37"/>
    </row>
    <row r="8" spans="1:20" ht="14.25" thickBot="1">
      <c r="A8" s="77" t="s">
        <v>28</v>
      </c>
      <c r="B8" s="78"/>
      <c r="C8" s="78"/>
      <c r="D8" s="78"/>
      <c r="E8" s="78"/>
      <c r="F8" s="79"/>
      <c r="G8" s="80" t="s">
        <v>71</v>
      </c>
      <c r="H8" s="81"/>
      <c r="I8" s="81"/>
      <c r="J8" s="81"/>
      <c r="K8" s="81"/>
      <c r="L8" s="81"/>
      <c r="M8" s="81"/>
      <c r="N8" s="81"/>
      <c r="O8" s="81"/>
      <c r="P8" s="82"/>
      <c r="Q8" s="37"/>
      <c r="R8" s="37"/>
      <c r="S8" s="37"/>
      <c r="T8" s="37"/>
    </row>
    <row r="9" spans="1:20" s="39" customFormat="1">
      <c r="A9" s="31"/>
      <c r="B9" s="31"/>
      <c r="C9" s="31"/>
      <c r="D9" s="31"/>
      <c r="E9" s="31"/>
      <c r="F9" s="32"/>
      <c r="G9" s="33"/>
      <c r="H9" s="34"/>
      <c r="I9" s="34"/>
      <c r="J9" s="34"/>
      <c r="K9" s="34"/>
      <c r="L9" s="34"/>
      <c r="M9" s="34"/>
      <c r="N9" s="34"/>
      <c r="O9" s="34"/>
      <c r="P9" s="34"/>
      <c r="Q9" s="38"/>
      <c r="R9" s="38"/>
      <c r="S9" s="38"/>
      <c r="T9" s="38"/>
    </row>
    <row r="10" spans="1:20" s="39" customFormat="1">
      <c r="A10" s="68" t="s">
        <v>41</v>
      </c>
      <c r="B10" s="68"/>
      <c r="C10" s="70" t="s">
        <v>108</v>
      </c>
      <c r="D10" s="70"/>
      <c r="E10" s="68" t="s">
        <v>32</v>
      </c>
      <c r="F10" s="68"/>
      <c r="G10" s="70">
        <v>1</v>
      </c>
      <c r="H10" s="70"/>
      <c r="I10" s="68" t="s">
        <v>158</v>
      </c>
      <c r="J10" s="68"/>
      <c r="K10" s="68"/>
      <c r="L10" s="67" t="s">
        <v>85</v>
      </c>
      <c r="M10" s="67"/>
      <c r="N10" s="67"/>
      <c r="O10" s="67"/>
      <c r="P10" s="67"/>
      <c r="Q10" s="38"/>
      <c r="R10" s="38"/>
      <c r="S10" s="38"/>
      <c r="T10" s="38"/>
    </row>
    <row r="11" spans="1:20" s="39" customFormat="1">
      <c r="A11" s="28" t="s">
        <v>4</v>
      </c>
      <c r="B11" s="28" t="s">
        <v>30</v>
      </c>
      <c r="C11" s="28" t="s">
        <v>28</v>
      </c>
      <c r="D11" s="28" t="s">
        <v>26</v>
      </c>
      <c r="E11" s="28" t="s">
        <v>32</v>
      </c>
      <c r="F11" s="28" t="s">
        <v>27</v>
      </c>
      <c r="G11" s="28" t="s">
        <v>1</v>
      </c>
      <c r="H11" s="28" t="s">
        <v>12</v>
      </c>
      <c r="I11" s="28" t="s">
        <v>10</v>
      </c>
      <c r="J11" s="28" t="s">
        <v>6</v>
      </c>
      <c r="K11" s="28" t="s">
        <v>55</v>
      </c>
      <c r="L11" s="42" t="s">
        <v>3</v>
      </c>
      <c r="M11" s="42" t="s">
        <v>14</v>
      </c>
      <c r="N11" s="42" t="s">
        <v>9</v>
      </c>
      <c r="O11" s="42" t="s">
        <v>11</v>
      </c>
      <c r="P11" s="42" t="s">
        <v>5</v>
      </c>
      <c r="Q11" s="38"/>
      <c r="R11" s="38"/>
      <c r="S11" s="38"/>
      <c r="T11" s="38"/>
    </row>
    <row r="12" spans="1:20" s="39" customFormat="1">
      <c r="A12" s="35">
        <v>1</v>
      </c>
      <c r="B12" s="35" t="str">
        <f>$G$7</f>
        <v>car_db</v>
      </c>
      <c r="C12" s="35" t="str">
        <f>$G$8</f>
        <v>car_db</v>
      </c>
      <c r="D12" s="35" t="str">
        <f>$L$10</f>
        <v>age_gender_sido</v>
      </c>
      <c r="E12" s="35">
        <v>1</v>
      </c>
      <c r="F12" s="46" t="s">
        <v>75</v>
      </c>
      <c r="G12" s="35" t="s">
        <v>60</v>
      </c>
      <c r="H12" s="47" t="s">
        <v>91</v>
      </c>
      <c r="I12" s="35"/>
      <c r="J12" s="47" t="s">
        <v>97</v>
      </c>
      <c r="K12" s="35"/>
      <c r="L12" s="48" t="s">
        <v>107</v>
      </c>
      <c r="M12" s="43" t="s">
        <v>57</v>
      </c>
      <c r="N12" s="43" t="s">
        <v>64</v>
      </c>
      <c r="O12" s="43"/>
      <c r="P12" s="43"/>
      <c r="Q12" s="38"/>
      <c r="R12" s="38"/>
      <c r="S12" s="38"/>
      <c r="T12" s="38"/>
    </row>
    <row r="13" spans="1:20" s="39" customFormat="1">
      <c r="A13" s="35">
        <v>2</v>
      </c>
      <c r="B13" s="35" t="str">
        <f t="shared" ref="B13:B16" si="0">$G$7</f>
        <v>car_db</v>
      </c>
      <c r="C13" s="35" t="str">
        <f t="shared" ref="C13:C16" si="1">$G$8</f>
        <v>car_db</v>
      </c>
      <c r="D13" s="35" t="str">
        <f>$L$10</f>
        <v>age_gender_sido</v>
      </c>
      <c r="E13" s="35">
        <v>1</v>
      </c>
      <c r="F13" s="46" t="s">
        <v>78</v>
      </c>
      <c r="G13" s="35" t="s">
        <v>103</v>
      </c>
      <c r="H13" s="47" t="s">
        <v>91</v>
      </c>
      <c r="I13" s="35"/>
      <c r="J13" s="47" t="s">
        <v>97</v>
      </c>
      <c r="K13" s="35"/>
      <c r="L13" s="48" t="s">
        <v>107</v>
      </c>
      <c r="M13" s="43"/>
      <c r="N13" s="45"/>
      <c r="O13" s="43"/>
      <c r="P13" s="43"/>
      <c r="Q13" s="38"/>
      <c r="R13" s="38"/>
      <c r="S13" s="38"/>
      <c r="T13" s="38"/>
    </row>
    <row r="14" spans="1:20" s="39" customFormat="1">
      <c r="A14" s="35">
        <v>3</v>
      </c>
      <c r="B14" s="35" t="str">
        <f t="shared" si="0"/>
        <v>car_db</v>
      </c>
      <c r="C14" s="35" t="str">
        <f t="shared" si="1"/>
        <v>car_db</v>
      </c>
      <c r="D14" s="35" t="str">
        <f>$L$10</f>
        <v>age_gender_sido</v>
      </c>
      <c r="E14" s="35">
        <v>1</v>
      </c>
      <c r="F14" s="46" t="s">
        <v>90</v>
      </c>
      <c r="G14" s="35" t="s">
        <v>104</v>
      </c>
      <c r="H14" s="47" t="s">
        <v>96</v>
      </c>
      <c r="I14" s="35"/>
      <c r="J14" s="47" t="s">
        <v>97</v>
      </c>
      <c r="K14" s="35"/>
      <c r="L14" s="48" t="s">
        <v>107</v>
      </c>
      <c r="M14" s="43"/>
      <c r="N14" s="45"/>
      <c r="O14" s="43"/>
      <c r="P14" s="43"/>
      <c r="Q14" s="38"/>
      <c r="R14" s="38"/>
      <c r="S14" s="38"/>
      <c r="T14" s="38"/>
    </row>
    <row r="15" spans="1:20" s="39" customFormat="1">
      <c r="A15" s="35">
        <v>4</v>
      </c>
      <c r="B15" s="35" t="str">
        <f t="shared" si="0"/>
        <v>car_db</v>
      </c>
      <c r="C15" s="35" t="str">
        <f t="shared" si="1"/>
        <v>car_db</v>
      </c>
      <c r="D15" s="35" t="str">
        <f>$L$10</f>
        <v>age_gender_sido</v>
      </c>
      <c r="E15" s="35">
        <v>1</v>
      </c>
      <c r="F15" s="46" t="s">
        <v>89</v>
      </c>
      <c r="G15" s="35" t="s">
        <v>105</v>
      </c>
      <c r="H15" s="47" t="s">
        <v>91</v>
      </c>
      <c r="I15" s="35"/>
      <c r="J15" s="47" t="s">
        <v>97</v>
      </c>
      <c r="K15" s="35"/>
      <c r="L15" s="48" t="s">
        <v>107</v>
      </c>
      <c r="M15" s="43"/>
      <c r="N15" s="45"/>
      <c r="O15" s="43"/>
      <c r="P15" s="43"/>
      <c r="Q15" s="38"/>
      <c r="R15" s="38"/>
      <c r="S15" s="38"/>
      <c r="T15" s="38"/>
    </row>
    <row r="16" spans="1:20" s="39" customFormat="1">
      <c r="A16" s="29">
        <v>5</v>
      </c>
      <c r="B16" s="35" t="str">
        <f t="shared" si="0"/>
        <v>car_db</v>
      </c>
      <c r="C16" s="35" t="str">
        <f t="shared" si="1"/>
        <v>car_db</v>
      </c>
      <c r="D16" s="35" t="str">
        <f>$L$10</f>
        <v>age_gender_sido</v>
      </c>
      <c r="E16" s="35">
        <v>1</v>
      </c>
      <c r="F16" s="47" t="s">
        <v>44</v>
      </c>
      <c r="G16" s="29" t="s">
        <v>102</v>
      </c>
      <c r="H16" s="47" t="s">
        <v>91</v>
      </c>
      <c r="I16" s="29"/>
      <c r="J16" s="29"/>
      <c r="K16" s="29"/>
      <c r="L16" s="48"/>
      <c r="M16" s="44"/>
      <c r="N16" s="43"/>
      <c r="O16" s="43"/>
      <c r="P16" s="43"/>
      <c r="Q16" s="38"/>
      <c r="R16" s="38"/>
      <c r="S16" s="38"/>
      <c r="T16" s="38"/>
    </row>
    <row r="17" spans="1:20" s="39" customFormat="1">
      <c r="A17" s="40"/>
      <c r="B17" s="40"/>
      <c r="C17" s="40"/>
      <c r="D17" s="40"/>
      <c r="E17" s="40"/>
      <c r="F17" s="35"/>
      <c r="G17" s="53"/>
      <c r="H17" s="54"/>
      <c r="I17" s="54"/>
      <c r="J17" s="54"/>
      <c r="K17" s="54"/>
      <c r="L17" s="43"/>
      <c r="M17" s="43"/>
      <c r="N17" s="43"/>
      <c r="O17" s="43"/>
      <c r="P17" s="43"/>
      <c r="Q17" s="38"/>
      <c r="R17" s="38"/>
      <c r="S17" s="38"/>
      <c r="T17" s="38"/>
    </row>
    <row r="18" spans="1:20">
      <c r="A18" s="68" t="s">
        <v>41</v>
      </c>
      <c r="B18" s="68"/>
      <c r="C18" s="70" t="s">
        <v>115</v>
      </c>
      <c r="D18" s="70"/>
      <c r="E18" s="68" t="s">
        <v>40</v>
      </c>
      <c r="F18" s="68"/>
      <c r="G18" s="70">
        <v>2</v>
      </c>
      <c r="H18" s="70"/>
      <c r="I18" s="68" t="s">
        <v>39</v>
      </c>
      <c r="J18" s="68"/>
      <c r="K18" s="68"/>
      <c r="L18" s="67" t="s">
        <v>84</v>
      </c>
      <c r="M18" s="67"/>
      <c r="N18" s="67"/>
      <c r="O18" s="67"/>
      <c r="P18" s="67"/>
    </row>
    <row r="19" spans="1:20">
      <c r="A19" s="28" t="s">
        <v>4</v>
      </c>
      <c r="B19" s="28" t="s">
        <v>30</v>
      </c>
      <c r="C19" s="28" t="s">
        <v>29</v>
      </c>
      <c r="D19" s="28" t="s">
        <v>39</v>
      </c>
      <c r="E19" s="28" t="s">
        <v>40</v>
      </c>
      <c r="F19" s="28" t="s">
        <v>27</v>
      </c>
      <c r="G19" s="28" t="s">
        <v>1</v>
      </c>
      <c r="H19" s="28" t="s">
        <v>12</v>
      </c>
      <c r="I19" s="28" t="s">
        <v>10</v>
      </c>
      <c r="J19" s="28" t="s">
        <v>6</v>
      </c>
      <c r="K19" s="28" t="s">
        <v>56</v>
      </c>
      <c r="L19" s="42" t="s">
        <v>58</v>
      </c>
      <c r="M19" s="42" t="s">
        <v>14</v>
      </c>
      <c r="N19" s="42" t="s">
        <v>9</v>
      </c>
      <c r="O19" s="42" t="s">
        <v>11</v>
      </c>
      <c r="P19" s="42" t="s">
        <v>5</v>
      </c>
      <c r="Q19" s="37"/>
      <c r="R19" s="37"/>
      <c r="S19" s="37"/>
      <c r="T19" s="37"/>
    </row>
    <row r="20" spans="1:20">
      <c r="A20" s="35">
        <v>1</v>
      </c>
      <c r="B20" s="35" t="str">
        <f>$G$7</f>
        <v>car_db</v>
      </c>
      <c r="C20" s="35" t="str">
        <f>$G$8</f>
        <v>car_db</v>
      </c>
      <c r="D20" s="35" t="str">
        <f>$L$18</f>
        <v>car_sigungu</v>
      </c>
      <c r="E20" s="35">
        <v>2</v>
      </c>
      <c r="F20" s="46" t="s">
        <v>75</v>
      </c>
      <c r="G20" s="35" t="s">
        <v>60</v>
      </c>
      <c r="H20" s="35" t="s">
        <v>106</v>
      </c>
      <c r="I20" s="35"/>
      <c r="J20" s="49" t="s">
        <v>97</v>
      </c>
      <c r="K20" s="35"/>
      <c r="L20" s="48" t="s">
        <v>100</v>
      </c>
      <c r="M20" s="43" t="s">
        <v>57</v>
      </c>
      <c r="N20" s="43" t="s">
        <v>64</v>
      </c>
      <c r="O20" s="43"/>
      <c r="P20" s="43"/>
      <c r="Q20" s="38"/>
      <c r="R20" s="37"/>
      <c r="S20" s="37"/>
      <c r="T20" s="37"/>
    </row>
    <row r="21" spans="1:20">
      <c r="A21" s="35">
        <v>2</v>
      </c>
      <c r="B21" s="35" t="str">
        <f t="shared" ref="B21:B23" si="2">$G$7</f>
        <v>car_db</v>
      </c>
      <c r="C21" s="35" t="str">
        <f t="shared" ref="C21:C23" si="3">$G$8</f>
        <v>car_db</v>
      </c>
      <c r="D21" s="35" t="str">
        <f>$L$18</f>
        <v>car_sigungu</v>
      </c>
      <c r="E21" s="35">
        <v>2</v>
      </c>
      <c r="F21" s="46" t="s">
        <v>86</v>
      </c>
      <c r="G21" s="35" t="s">
        <v>61</v>
      </c>
      <c r="H21" s="35" t="s">
        <v>47</v>
      </c>
      <c r="I21" s="35"/>
      <c r="J21" s="49" t="s">
        <v>97</v>
      </c>
      <c r="K21" s="35"/>
      <c r="L21" s="48" t="s">
        <v>100</v>
      </c>
      <c r="M21" s="43"/>
      <c r="N21" s="45"/>
      <c r="O21" s="43"/>
      <c r="P21" s="43"/>
      <c r="Q21" s="38"/>
      <c r="R21" s="37"/>
      <c r="S21" s="37"/>
      <c r="T21" s="37"/>
    </row>
    <row r="22" spans="1:20">
      <c r="A22" s="35">
        <v>3</v>
      </c>
      <c r="B22" s="35" t="str">
        <f t="shared" si="2"/>
        <v>car_db</v>
      </c>
      <c r="C22" s="35" t="str">
        <f t="shared" si="3"/>
        <v>car_db</v>
      </c>
      <c r="D22" s="35" t="str">
        <f>$L$18</f>
        <v>car_sigungu</v>
      </c>
      <c r="E22" s="35">
        <v>2</v>
      </c>
      <c r="F22" s="46" t="s">
        <v>35</v>
      </c>
      <c r="G22" s="35" t="s">
        <v>133</v>
      </c>
      <c r="H22" s="35" t="s">
        <v>59</v>
      </c>
      <c r="I22" s="35"/>
      <c r="J22" s="35"/>
      <c r="K22" s="35"/>
      <c r="L22" s="49"/>
      <c r="M22" s="43"/>
      <c r="N22" s="43"/>
      <c r="O22" s="43"/>
      <c r="P22" s="43"/>
      <c r="Q22" s="38"/>
      <c r="R22" s="37"/>
      <c r="S22" s="37"/>
      <c r="T22" s="37"/>
    </row>
    <row r="23" spans="1:20">
      <c r="A23" s="35">
        <v>4</v>
      </c>
      <c r="B23" s="35" t="str">
        <f t="shared" si="2"/>
        <v>car_db</v>
      </c>
      <c r="C23" s="35" t="str">
        <f t="shared" si="3"/>
        <v>car_db</v>
      </c>
      <c r="D23" s="35" t="str">
        <f>$L$18</f>
        <v>car_sigungu</v>
      </c>
      <c r="E23" s="35">
        <v>2</v>
      </c>
      <c r="F23" s="46" t="s">
        <v>36</v>
      </c>
      <c r="G23" s="35" t="s">
        <v>134</v>
      </c>
      <c r="H23" s="35" t="s">
        <v>59</v>
      </c>
      <c r="I23" s="35"/>
      <c r="J23" s="35"/>
      <c r="K23" s="35"/>
      <c r="L23" s="49"/>
      <c r="M23" s="43"/>
      <c r="N23" s="43"/>
      <c r="O23" s="43"/>
      <c r="P23" s="43"/>
      <c r="Q23" s="38"/>
      <c r="R23" s="37"/>
      <c r="S23" s="37"/>
      <c r="T23" s="37"/>
    </row>
    <row r="24" spans="1:20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44"/>
      <c r="M24" s="44"/>
      <c r="N24" s="44"/>
      <c r="O24" s="44"/>
      <c r="P24" s="44"/>
    </row>
    <row r="25" spans="1:20">
      <c r="A25" s="68" t="s">
        <v>42</v>
      </c>
      <c r="B25" s="68"/>
      <c r="C25" s="70" t="s">
        <v>109</v>
      </c>
      <c r="D25" s="70"/>
      <c r="E25" s="68" t="s">
        <v>31</v>
      </c>
      <c r="F25" s="68"/>
      <c r="G25" s="70">
        <v>3</v>
      </c>
      <c r="H25" s="70"/>
      <c r="I25" s="68" t="s">
        <v>38</v>
      </c>
      <c r="J25" s="68"/>
      <c r="K25" s="68"/>
      <c r="L25" s="67" t="s">
        <v>77</v>
      </c>
      <c r="M25" s="67"/>
      <c r="N25" s="67"/>
      <c r="O25" s="67"/>
      <c r="P25" s="67"/>
    </row>
    <row r="26" spans="1:20">
      <c r="A26" s="28" t="s">
        <v>4</v>
      </c>
      <c r="B26" s="28" t="s">
        <v>30</v>
      </c>
      <c r="C26" s="28" t="s">
        <v>29</v>
      </c>
      <c r="D26" s="28" t="s">
        <v>39</v>
      </c>
      <c r="E26" s="28" t="s">
        <v>40</v>
      </c>
      <c r="F26" s="28" t="s">
        <v>27</v>
      </c>
      <c r="G26" s="28" t="s">
        <v>1</v>
      </c>
      <c r="H26" s="28" t="s">
        <v>12</v>
      </c>
      <c r="I26" s="28" t="s">
        <v>10</v>
      </c>
      <c r="J26" s="28" t="s">
        <v>6</v>
      </c>
      <c r="K26" s="28" t="s">
        <v>55</v>
      </c>
      <c r="L26" s="42" t="s">
        <v>3</v>
      </c>
      <c r="M26" s="42" t="s">
        <v>14</v>
      </c>
      <c r="N26" s="42" t="s">
        <v>9</v>
      </c>
      <c r="O26" s="42" t="s">
        <v>11</v>
      </c>
      <c r="P26" s="42" t="s">
        <v>5</v>
      </c>
    </row>
    <row r="27" spans="1:20">
      <c r="A27" s="35">
        <v>1</v>
      </c>
      <c r="B27" s="35" t="str">
        <f>$G$7</f>
        <v>car_db</v>
      </c>
      <c r="C27" s="35" t="str">
        <f>$G$8</f>
        <v>car_db</v>
      </c>
      <c r="D27" s="35" t="str">
        <f>$L$25</f>
        <v>cumul_sido</v>
      </c>
      <c r="E27" s="35">
        <v>3</v>
      </c>
      <c r="F27" s="46" t="s">
        <v>75</v>
      </c>
      <c r="G27" s="35" t="s">
        <v>129</v>
      </c>
      <c r="H27" s="35" t="s">
        <v>59</v>
      </c>
      <c r="I27" s="35"/>
      <c r="J27" s="49" t="s">
        <v>97</v>
      </c>
      <c r="K27" s="35"/>
      <c r="L27" s="43" t="s">
        <v>100</v>
      </c>
      <c r="M27" s="43" t="s">
        <v>57</v>
      </c>
      <c r="N27" s="43" t="s">
        <v>64</v>
      </c>
      <c r="O27" s="43"/>
      <c r="P27" s="43"/>
    </row>
    <row r="28" spans="1:20">
      <c r="A28" s="35">
        <v>2</v>
      </c>
      <c r="B28" s="35" t="str">
        <f t="shared" ref="B28:B30" si="4">$G$7</f>
        <v>car_db</v>
      </c>
      <c r="C28" s="35" t="str">
        <f t="shared" ref="C28:C30" si="5">$G$8</f>
        <v>car_db</v>
      </c>
      <c r="D28" s="35" t="str">
        <f>$L$25</f>
        <v>cumul_sido</v>
      </c>
      <c r="E28" s="35">
        <v>3</v>
      </c>
      <c r="F28" s="46" t="s">
        <v>78</v>
      </c>
      <c r="G28" s="35" t="s">
        <v>130</v>
      </c>
      <c r="H28" s="35" t="s">
        <v>47</v>
      </c>
      <c r="I28" s="35"/>
      <c r="J28" s="49" t="s">
        <v>97</v>
      </c>
      <c r="K28" s="35"/>
      <c r="L28" s="43" t="s">
        <v>100</v>
      </c>
      <c r="M28" s="43"/>
      <c r="N28" s="45"/>
      <c r="O28" s="43"/>
      <c r="P28" s="43"/>
    </row>
    <row r="29" spans="1:20">
      <c r="A29" s="35">
        <v>3</v>
      </c>
      <c r="B29" s="35" t="str">
        <f t="shared" si="4"/>
        <v>car_db</v>
      </c>
      <c r="C29" s="35" t="str">
        <f t="shared" si="5"/>
        <v>car_db</v>
      </c>
      <c r="D29" s="35" t="str">
        <f>$L$25</f>
        <v>cumul_sido</v>
      </c>
      <c r="E29" s="35">
        <v>3</v>
      </c>
      <c r="F29" s="46" t="s">
        <v>51</v>
      </c>
      <c r="G29" s="35" t="s">
        <v>131</v>
      </c>
      <c r="H29" s="35" t="s">
        <v>47</v>
      </c>
      <c r="I29" s="35"/>
      <c r="J29" s="35"/>
      <c r="K29" s="35"/>
      <c r="L29" s="43"/>
      <c r="M29" s="43"/>
      <c r="N29" s="43"/>
      <c r="O29" s="43"/>
      <c r="P29" s="43"/>
    </row>
    <row r="30" spans="1:20">
      <c r="A30" s="35">
        <v>4</v>
      </c>
      <c r="B30" s="35" t="str">
        <f t="shared" si="4"/>
        <v>car_db</v>
      </c>
      <c r="C30" s="35" t="str">
        <f t="shared" si="5"/>
        <v>car_db</v>
      </c>
      <c r="D30" s="35" t="str">
        <f>$L$25</f>
        <v>cumul_sido</v>
      </c>
      <c r="E30" s="35">
        <v>3</v>
      </c>
      <c r="F30" s="46" t="s">
        <v>52</v>
      </c>
      <c r="G30" s="35" t="s">
        <v>132</v>
      </c>
      <c r="H30" s="35" t="s">
        <v>47</v>
      </c>
      <c r="I30" s="35"/>
      <c r="J30" s="35"/>
      <c r="K30" s="35"/>
      <c r="L30" s="43"/>
      <c r="M30" s="43"/>
      <c r="N30" s="43"/>
      <c r="O30" s="43"/>
      <c r="P30" s="43"/>
    </row>
    <row r="31" spans="1:20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43"/>
      <c r="M31" s="43"/>
      <c r="N31" s="43"/>
      <c r="O31" s="43"/>
      <c r="P31" s="43"/>
    </row>
    <row r="32" spans="1:20">
      <c r="A32" s="68" t="s">
        <v>42</v>
      </c>
      <c r="B32" s="68"/>
      <c r="C32" s="70" t="s">
        <v>110</v>
      </c>
      <c r="D32" s="70"/>
      <c r="E32" s="68" t="s">
        <v>31</v>
      </c>
      <c r="F32" s="68"/>
      <c r="G32" s="70">
        <v>4</v>
      </c>
      <c r="H32" s="70"/>
      <c r="I32" s="68" t="s">
        <v>26</v>
      </c>
      <c r="J32" s="68"/>
      <c r="K32" s="68"/>
      <c r="L32" s="67" t="s">
        <v>83</v>
      </c>
      <c r="M32" s="67"/>
      <c r="N32" s="67"/>
      <c r="O32" s="67"/>
      <c r="P32" s="67"/>
    </row>
    <row r="33" spans="1:16">
      <c r="A33" s="28" t="s">
        <v>4</v>
      </c>
      <c r="B33" s="28" t="s">
        <v>30</v>
      </c>
      <c r="C33" s="28" t="s">
        <v>28</v>
      </c>
      <c r="D33" s="28" t="s">
        <v>26</v>
      </c>
      <c r="E33" s="28" t="s">
        <v>32</v>
      </c>
      <c r="F33" s="28" t="s">
        <v>27</v>
      </c>
      <c r="G33" s="28" t="s">
        <v>1</v>
      </c>
      <c r="H33" s="28" t="s">
        <v>12</v>
      </c>
      <c r="I33" s="28" t="s">
        <v>10</v>
      </c>
      <c r="J33" s="28" t="s">
        <v>6</v>
      </c>
      <c r="K33" s="28" t="s">
        <v>55</v>
      </c>
      <c r="L33" s="42" t="s">
        <v>3</v>
      </c>
      <c r="M33" s="42" t="s">
        <v>14</v>
      </c>
      <c r="N33" s="42" t="s">
        <v>9</v>
      </c>
      <c r="O33" s="42" t="s">
        <v>11</v>
      </c>
      <c r="P33" s="42" t="s">
        <v>5</v>
      </c>
    </row>
    <row r="34" spans="1:16">
      <c r="A34" s="35">
        <v>1</v>
      </c>
      <c r="B34" s="35" t="str">
        <f t="shared" ref="B34:B36" si="6">$G$7</f>
        <v>car_db</v>
      </c>
      <c r="C34" s="35" t="str">
        <f t="shared" ref="C34:C36" si="7">$G$8</f>
        <v>car_db</v>
      </c>
      <c r="D34" s="35" t="str">
        <f>$L$32</f>
        <v>dim_region</v>
      </c>
      <c r="E34" s="35">
        <v>3</v>
      </c>
      <c r="F34" s="46" t="s">
        <v>86</v>
      </c>
      <c r="G34" s="35" t="s">
        <v>127</v>
      </c>
      <c r="H34" s="35" t="s">
        <v>91</v>
      </c>
      <c r="I34" s="35"/>
      <c r="J34" s="49" t="s">
        <v>97</v>
      </c>
      <c r="K34" s="35"/>
      <c r="L34" s="43" t="s">
        <v>100</v>
      </c>
      <c r="M34" s="43" t="s">
        <v>57</v>
      </c>
      <c r="N34" s="43" t="s">
        <v>64</v>
      </c>
      <c r="O34" s="43"/>
      <c r="P34" s="43"/>
    </row>
    <row r="35" spans="1:16">
      <c r="A35" s="35">
        <v>2</v>
      </c>
      <c r="B35" s="35" t="str">
        <f t="shared" si="6"/>
        <v>car_db</v>
      </c>
      <c r="C35" s="35" t="str">
        <f t="shared" si="7"/>
        <v>car_db</v>
      </c>
      <c r="D35" s="35" t="str">
        <f>$L$32</f>
        <v>dim_region</v>
      </c>
      <c r="E35" s="35">
        <v>3</v>
      </c>
      <c r="F35" s="46" t="s">
        <v>78</v>
      </c>
      <c r="G35" s="35" t="s">
        <v>126</v>
      </c>
      <c r="H35" s="35" t="s">
        <v>91</v>
      </c>
      <c r="I35" s="35"/>
      <c r="J35" s="49" t="s">
        <v>98</v>
      </c>
      <c r="K35" s="35"/>
      <c r="L35" s="43" t="s">
        <v>100</v>
      </c>
      <c r="M35" s="43"/>
      <c r="N35" s="45"/>
      <c r="O35" s="43"/>
      <c r="P35" s="43"/>
    </row>
    <row r="36" spans="1:16">
      <c r="A36" s="35">
        <v>3</v>
      </c>
      <c r="B36" s="35" t="str">
        <f t="shared" si="6"/>
        <v>car_db</v>
      </c>
      <c r="C36" s="35" t="str">
        <f t="shared" si="7"/>
        <v>car_db</v>
      </c>
      <c r="D36" s="35" t="str">
        <f>$L$32</f>
        <v>dim_region</v>
      </c>
      <c r="E36" s="35">
        <v>3</v>
      </c>
      <c r="F36" s="46" t="s">
        <v>37</v>
      </c>
      <c r="G36" s="35" t="s">
        <v>128</v>
      </c>
      <c r="H36" s="35" t="s">
        <v>95</v>
      </c>
      <c r="I36" s="35"/>
      <c r="J36" s="35"/>
      <c r="K36" s="35"/>
      <c r="L36" s="43" t="s">
        <v>100</v>
      </c>
      <c r="M36" s="43"/>
      <c r="N36" s="43"/>
      <c r="O36" s="43"/>
      <c r="P36" s="43"/>
    </row>
    <row r="37" spans="1:16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44"/>
      <c r="M37" s="44"/>
      <c r="N37" s="44"/>
      <c r="O37" s="44"/>
      <c r="P37" s="44"/>
    </row>
    <row r="38" spans="1:16">
      <c r="A38" s="68" t="s">
        <v>42</v>
      </c>
      <c r="B38" s="68"/>
      <c r="C38" s="70" t="s">
        <v>111</v>
      </c>
      <c r="D38" s="70"/>
      <c r="E38" s="68" t="s">
        <v>50</v>
      </c>
      <c r="F38" s="68"/>
      <c r="G38" s="70">
        <v>5</v>
      </c>
      <c r="H38" s="70"/>
      <c r="I38" s="68" t="s">
        <v>26</v>
      </c>
      <c r="J38" s="68"/>
      <c r="K38" s="68"/>
      <c r="L38" s="67" t="s">
        <v>82</v>
      </c>
      <c r="M38" s="67"/>
      <c r="N38" s="67"/>
      <c r="O38" s="67"/>
      <c r="P38" s="67"/>
    </row>
    <row r="39" spans="1:16">
      <c r="A39" s="28" t="s">
        <v>4</v>
      </c>
      <c r="B39" s="28" t="s">
        <v>30</v>
      </c>
      <c r="C39" s="28" t="s">
        <v>28</v>
      </c>
      <c r="D39" s="28" t="s">
        <v>26</v>
      </c>
      <c r="E39" s="28" t="s">
        <v>32</v>
      </c>
      <c r="F39" s="28" t="s">
        <v>27</v>
      </c>
      <c r="G39" s="28" t="s">
        <v>1</v>
      </c>
      <c r="H39" s="28" t="s">
        <v>12</v>
      </c>
      <c r="I39" s="28" t="s">
        <v>10</v>
      </c>
      <c r="J39" s="28" t="s">
        <v>6</v>
      </c>
      <c r="K39" s="28" t="s">
        <v>55</v>
      </c>
      <c r="L39" s="42" t="s">
        <v>3</v>
      </c>
      <c r="M39" s="42" t="s">
        <v>14</v>
      </c>
      <c r="N39" s="42" t="s">
        <v>9</v>
      </c>
      <c r="O39" s="42" t="s">
        <v>11</v>
      </c>
      <c r="P39" s="42" t="s">
        <v>5</v>
      </c>
    </row>
    <row r="40" spans="1:16">
      <c r="A40" s="35">
        <v>1</v>
      </c>
      <c r="B40" s="35" t="str">
        <f t="shared" ref="B40:B41" si="8">$G$7</f>
        <v>car_db</v>
      </c>
      <c r="C40" s="35" t="str">
        <f t="shared" ref="C40:C41" si="9">$G$8</f>
        <v>car_db</v>
      </c>
      <c r="D40" s="35" t="str">
        <f>$L$38</f>
        <v>dim_sido</v>
      </c>
      <c r="E40" s="35">
        <v>4</v>
      </c>
      <c r="F40" s="46" t="s">
        <v>78</v>
      </c>
      <c r="G40" s="35" t="s">
        <v>126</v>
      </c>
      <c r="H40" s="35" t="s">
        <v>91</v>
      </c>
      <c r="I40" s="35"/>
      <c r="J40" s="49" t="s">
        <v>97</v>
      </c>
      <c r="K40" s="35"/>
      <c r="L40" s="43" t="s">
        <v>100</v>
      </c>
      <c r="M40" s="43" t="s">
        <v>57</v>
      </c>
      <c r="N40" s="43" t="s">
        <v>64</v>
      </c>
      <c r="O40" s="43"/>
      <c r="P40" s="43"/>
    </row>
    <row r="41" spans="1:16">
      <c r="A41" s="35">
        <v>2</v>
      </c>
      <c r="B41" s="35" t="str">
        <f t="shared" si="8"/>
        <v>car_db</v>
      </c>
      <c r="C41" s="35" t="str">
        <f t="shared" si="9"/>
        <v>car_db</v>
      </c>
      <c r="D41" s="35" t="str">
        <f>$L$38</f>
        <v>dim_sido</v>
      </c>
      <c r="E41" s="35">
        <v>4</v>
      </c>
      <c r="F41" s="46" t="s">
        <v>34</v>
      </c>
      <c r="G41" s="35" t="s">
        <v>144</v>
      </c>
      <c r="H41" s="35" t="s">
        <v>95</v>
      </c>
      <c r="I41" s="35"/>
      <c r="J41" s="49" t="s">
        <v>122</v>
      </c>
      <c r="K41" s="35"/>
      <c r="L41" s="49" t="s">
        <v>117</v>
      </c>
      <c r="M41" s="43"/>
      <c r="N41" s="45"/>
      <c r="O41" s="43"/>
      <c r="P41" s="43"/>
    </row>
    <row r="42" spans="1:16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43"/>
      <c r="M42" s="43"/>
      <c r="N42" s="43"/>
      <c r="O42" s="43"/>
      <c r="P42" s="43"/>
    </row>
    <row r="43" spans="1:16">
      <c r="A43" s="68" t="s">
        <v>42</v>
      </c>
      <c r="B43" s="68"/>
      <c r="C43" s="70" t="s">
        <v>112</v>
      </c>
      <c r="D43" s="70"/>
      <c r="E43" s="68" t="s">
        <v>31</v>
      </c>
      <c r="F43" s="68"/>
      <c r="G43" s="70">
        <v>6</v>
      </c>
      <c r="H43" s="70"/>
      <c r="I43" s="68" t="s">
        <v>26</v>
      </c>
      <c r="J43" s="68"/>
      <c r="K43" s="68"/>
      <c r="L43" s="67" t="s">
        <v>74</v>
      </c>
      <c r="M43" s="67"/>
      <c r="N43" s="67"/>
      <c r="O43" s="67"/>
      <c r="P43" s="67"/>
    </row>
    <row r="44" spans="1:16">
      <c r="A44" s="28" t="s">
        <v>4</v>
      </c>
      <c r="B44" s="28" t="s">
        <v>30</v>
      </c>
      <c r="C44" s="28" t="s">
        <v>28</v>
      </c>
      <c r="D44" s="28" t="s">
        <v>26</v>
      </c>
      <c r="E44" s="28" t="s">
        <v>32</v>
      </c>
      <c r="F44" s="28" t="s">
        <v>27</v>
      </c>
      <c r="G44" s="28" t="s">
        <v>1</v>
      </c>
      <c r="H44" s="28" t="s">
        <v>12</v>
      </c>
      <c r="I44" s="28" t="s">
        <v>10</v>
      </c>
      <c r="J44" s="28" t="s">
        <v>6</v>
      </c>
      <c r="K44" s="28" t="s">
        <v>55</v>
      </c>
      <c r="L44" s="42" t="s">
        <v>3</v>
      </c>
      <c r="M44" s="42" t="s">
        <v>14</v>
      </c>
      <c r="N44" s="42" t="s">
        <v>65</v>
      </c>
      <c r="O44" s="42" t="s">
        <v>11</v>
      </c>
      <c r="P44" s="42" t="s">
        <v>5</v>
      </c>
    </row>
    <row r="45" spans="1:16">
      <c r="A45" s="35">
        <v>1</v>
      </c>
      <c r="B45" s="35" t="str">
        <f t="shared" ref="B45:B47" si="10">$G$7</f>
        <v>car_db</v>
      </c>
      <c r="C45" s="35" t="str">
        <f t="shared" ref="C45:C47" si="11">$G$8</f>
        <v>car_db</v>
      </c>
      <c r="D45" s="35" t="str">
        <f>$L$43</f>
        <v>dim_time</v>
      </c>
      <c r="E45" s="35">
        <v>7</v>
      </c>
      <c r="F45" s="46" t="s">
        <v>75</v>
      </c>
      <c r="G45" s="35" t="s">
        <v>125</v>
      </c>
      <c r="H45" s="35" t="s">
        <v>91</v>
      </c>
      <c r="I45" s="35"/>
      <c r="J45" s="49" t="s">
        <v>97</v>
      </c>
      <c r="K45" s="35"/>
      <c r="L45" s="49" t="s">
        <v>117</v>
      </c>
      <c r="M45" s="43" t="s">
        <v>156</v>
      </c>
      <c r="N45" s="43" t="s">
        <v>64</v>
      </c>
      <c r="O45" s="43"/>
      <c r="P45" s="43"/>
    </row>
    <row r="46" spans="1:16">
      <c r="A46" s="35">
        <v>2</v>
      </c>
      <c r="B46" s="35" t="str">
        <f t="shared" si="10"/>
        <v>car_db</v>
      </c>
      <c r="C46" s="35" t="str">
        <f t="shared" si="11"/>
        <v>car_db</v>
      </c>
      <c r="D46" s="35" t="str">
        <f>$L$43</f>
        <v>dim_time</v>
      </c>
      <c r="E46" s="35">
        <v>7</v>
      </c>
      <c r="F46" s="46" t="s">
        <v>76</v>
      </c>
      <c r="G46" s="35" t="s">
        <v>145</v>
      </c>
      <c r="H46" s="35" t="s">
        <v>91</v>
      </c>
      <c r="I46" s="35"/>
      <c r="J46" s="49" t="s">
        <v>98</v>
      </c>
      <c r="K46" s="35"/>
      <c r="L46" s="49" t="s">
        <v>118</v>
      </c>
      <c r="M46" s="43"/>
      <c r="N46" s="45"/>
      <c r="O46" s="43"/>
      <c r="P46" s="43"/>
    </row>
    <row r="47" spans="1:16">
      <c r="A47" s="35">
        <v>3</v>
      </c>
      <c r="B47" s="35" t="str">
        <f t="shared" si="10"/>
        <v>car_db</v>
      </c>
      <c r="C47" s="35" t="str">
        <f t="shared" si="11"/>
        <v>car_db</v>
      </c>
      <c r="D47" s="35" t="str">
        <f>$L$43</f>
        <v>dim_time</v>
      </c>
      <c r="E47" s="35">
        <v>7</v>
      </c>
      <c r="F47" s="46" t="s">
        <v>33</v>
      </c>
      <c r="G47" s="35" t="s">
        <v>146</v>
      </c>
      <c r="H47" s="35" t="s">
        <v>160</v>
      </c>
      <c r="I47" s="35"/>
      <c r="J47" s="35"/>
      <c r="K47" s="35"/>
      <c r="L47" s="49" t="s">
        <v>117</v>
      </c>
      <c r="M47" s="43"/>
      <c r="N47" s="43"/>
      <c r="O47" s="43"/>
      <c r="P47" s="43"/>
    </row>
    <row r="48" spans="1:16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43"/>
      <c r="M48" s="43"/>
      <c r="N48" s="43"/>
      <c r="O48" s="43"/>
      <c r="P48" s="43"/>
    </row>
    <row r="49" spans="1:16">
      <c r="A49" s="68" t="s">
        <v>42</v>
      </c>
      <c r="B49" s="68"/>
      <c r="C49" s="70" t="s">
        <v>113</v>
      </c>
      <c r="D49" s="70"/>
      <c r="E49" s="68" t="s">
        <v>31</v>
      </c>
      <c r="F49" s="68"/>
      <c r="G49" s="70">
        <v>7</v>
      </c>
      <c r="H49" s="70"/>
      <c r="I49" s="68" t="s">
        <v>26</v>
      </c>
      <c r="J49" s="68"/>
      <c r="K49" s="68"/>
      <c r="L49" s="67" t="s">
        <v>81</v>
      </c>
      <c r="M49" s="67"/>
      <c r="N49" s="67"/>
      <c r="O49" s="67"/>
      <c r="P49" s="67"/>
    </row>
    <row r="50" spans="1:16">
      <c r="A50" s="28" t="s">
        <v>4</v>
      </c>
      <c r="B50" s="28" t="s">
        <v>30</v>
      </c>
      <c r="C50" s="28" t="s">
        <v>28</v>
      </c>
      <c r="D50" s="28" t="s">
        <v>26</v>
      </c>
      <c r="E50" s="28" t="s">
        <v>32</v>
      </c>
      <c r="F50" s="28" t="s">
        <v>27</v>
      </c>
      <c r="G50" s="28" t="s">
        <v>1</v>
      </c>
      <c r="H50" s="28" t="s">
        <v>12</v>
      </c>
      <c r="I50" s="28" t="s">
        <v>10</v>
      </c>
      <c r="J50" s="28" t="s">
        <v>6</v>
      </c>
      <c r="K50" s="28" t="s">
        <v>55</v>
      </c>
      <c r="L50" s="42" t="s">
        <v>3</v>
      </c>
      <c r="M50" s="42" t="s">
        <v>14</v>
      </c>
      <c r="N50" s="42" t="s">
        <v>9</v>
      </c>
      <c r="O50" s="42" t="s">
        <v>11</v>
      </c>
      <c r="P50" s="42" t="s">
        <v>5</v>
      </c>
    </row>
    <row r="51" spans="1:16">
      <c r="A51" s="35">
        <v>1</v>
      </c>
      <c r="B51" s="35" t="str">
        <f t="shared" ref="B51:B54" si="12">$G$7</f>
        <v>car_db</v>
      </c>
      <c r="C51" s="35" t="str">
        <f t="shared" ref="C51:C54" si="13">$G$8</f>
        <v>car_db</v>
      </c>
      <c r="D51" s="35" t="str">
        <f>$L$49</f>
        <v>fuel_sido</v>
      </c>
      <c r="E51" s="35">
        <v>10</v>
      </c>
      <c r="F51" s="46" t="s">
        <v>75</v>
      </c>
      <c r="G51" s="35" t="s">
        <v>125</v>
      </c>
      <c r="H51" s="35" t="s">
        <v>91</v>
      </c>
      <c r="I51" s="35"/>
      <c r="J51" s="49" t="s">
        <v>97</v>
      </c>
      <c r="K51" s="35"/>
      <c r="L51" s="49" t="s">
        <v>117</v>
      </c>
      <c r="M51" s="43"/>
      <c r="N51" s="43"/>
      <c r="O51" s="43"/>
      <c r="P51" s="43"/>
    </row>
    <row r="52" spans="1:16">
      <c r="A52" s="35">
        <v>2</v>
      </c>
      <c r="B52" s="35" t="str">
        <f t="shared" si="12"/>
        <v>car_db</v>
      </c>
      <c r="C52" s="35" t="str">
        <f t="shared" si="13"/>
        <v>car_db</v>
      </c>
      <c r="D52" s="35" t="str">
        <f>$L$49</f>
        <v>fuel_sido</v>
      </c>
      <c r="E52" s="35">
        <v>7</v>
      </c>
      <c r="F52" s="46" t="s">
        <v>78</v>
      </c>
      <c r="G52" s="35" t="s">
        <v>135</v>
      </c>
      <c r="H52" s="35" t="s">
        <v>91</v>
      </c>
      <c r="I52" s="35"/>
      <c r="J52" s="49" t="s">
        <v>97</v>
      </c>
      <c r="K52" s="35"/>
      <c r="L52" s="49" t="s">
        <v>119</v>
      </c>
      <c r="M52" s="43"/>
      <c r="N52" s="45"/>
      <c r="O52" s="43"/>
      <c r="P52" s="43"/>
    </row>
    <row r="53" spans="1:16">
      <c r="A53" s="35">
        <v>3</v>
      </c>
      <c r="B53" s="35" t="str">
        <f t="shared" si="12"/>
        <v>car_db</v>
      </c>
      <c r="C53" s="35" t="str">
        <f t="shared" si="13"/>
        <v>car_db</v>
      </c>
      <c r="D53" s="35" t="str">
        <f>$L$49</f>
        <v>fuel_sido</v>
      </c>
      <c r="E53" s="35">
        <v>7</v>
      </c>
      <c r="F53" s="46" t="s">
        <v>88</v>
      </c>
      <c r="G53" s="35" t="s">
        <v>136</v>
      </c>
      <c r="H53" s="35" t="s">
        <v>94</v>
      </c>
      <c r="I53" s="35"/>
      <c r="J53" s="49" t="s">
        <v>97</v>
      </c>
      <c r="K53" s="35"/>
      <c r="L53" s="49" t="s">
        <v>119</v>
      </c>
      <c r="M53" s="43"/>
      <c r="N53" s="43"/>
      <c r="O53" s="43"/>
      <c r="P53" s="43"/>
    </row>
    <row r="54" spans="1:16">
      <c r="A54" s="35">
        <v>4</v>
      </c>
      <c r="B54" s="35" t="str">
        <f t="shared" si="12"/>
        <v>car_db</v>
      </c>
      <c r="C54" s="35" t="str">
        <f t="shared" si="13"/>
        <v>car_db</v>
      </c>
      <c r="D54" s="35" t="str">
        <f>$L$49</f>
        <v>fuel_sido</v>
      </c>
      <c r="E54" s="35">
        <v>7</v>
      </c>
      <c r="F54" s="46" t="s">
        <v>44</v>
      </c>
      <c r="G54" s="35" t="s">
        <v>137</v>
      </c>
      <c r="H54" s="35" t="s">
        <v>91</v>
      </c>
      <c r="I54" s="35"/>
      <c r="J54" s="35"/>
      <c r="K54" s="35"/>
      <c r="L54" s="43"/>
      <c r="M54" s="43"/>
      <c r="N54" s="43"/>
      <c r="O54" s="43"/>
      <c r="P54" s="43"/>
    </row>
    <row r="55" spans="1:16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43"/>
      <c r="M55" s="43"/>
      <c r="N55" s="43"/>
      <c r="O55" s="43"/>
      <c r="P55" s="43"/>
    </row>
    <row r="56" spans="1:16">
      <c r="A56" s="68" t="s">
        <v>42</v>
      </c>
      <c r="B56" s="68"/>
      <c r="C56" s="70" t="s">
        <v>114</v>
      </c>
      <c r="D56" s="70"/>
      <c r="E56" s="68" t="s">
        <v>31</v>
      </c>
      <c r="F56" s="68"/>
      <c r="G56" s="70">
        <v>8</v>
      </c>
      <c r="H56" s="70"/>
      <c r="I56" s="68" t="s">
        <v>26</v>
      </c>
      <c r="J56" s="68"/>
      <c r="K56" s="68"/>
      <c r="L56" s="67" t="s">
        <v>80</v>
      </c>
      <c r="M56" s="67"/>
      <c r="N56" s="67"/>
      <c r="O56" s="67"/>
      <c r="P56" s="67"/>
    </row>
    <row r="57" spans="1:16">
      <c r="A57" s="28" t="s">
        <v>4</v>
      </c>
      <c r="B57" s="28" t="s">
        <v>30</v>
      </c>
      <c r="C57" s="28" t="s">
        <v>28</v>
      </c>
      <c r="D57" s="28" t="s">
        <v>26</v>
      </c>
      <c r="E57" s="28" t="s">
        <v>32</v>
      </c>
      <c r="F57" s="28" t="s">
        <v>27</v>
      </c>
      <c r="G57" s="28" t="s">
        <v>1</v>
      </c>
      <c r="H57" s="28" t="s">
        <v>12</v>
      </c>
      <c r="I57" s="28" t="s">
        <v>10</v>
      </c>
      <c r="J57" s="28" t="s">
        <v>6</v>
      </c>
      <c r="K57" s="28" t="s">
        <v>55</v>
      </c>
      <c r="L57" s="42" t="s">
        <v>3</v>
      </c>
      <c r="M57" s="42" t="s">
        <v>14</v>
      </c>
      <c r="N57" s="42" t="s">
        <v>9</v>
      </c>
      <c r="O57" s="42" t="s">
        <v>11</v>
      </c>
      <c r="P57" s="42" t="s">
        <v>5</v>
      </c>
    </row>
    <row r="58" spans="1:16">
      <c r="A58" s="35">
        <v>1</v>
      </c>
      <c r="B58" s="35" t="str">
        <f t="shared" ref="B58:B60" si="14">$G$7</f>
        <v>car_db</v>
      </c>
      <c r="C58" s="35" t="str">
        <f t="shared" ref="C58:C60" si="15">$G$8</f>
        <v>car_db</v>
      </c>
      <c r="D58" s="35" t="str">
        <f>$L$56</f>
        <v>imported_sigungu</v>
      </c>
      <c r="E58" s="35">
        <v>8</v>
      </c>
      <c r="F58" s="46" t="s">
        <v>75</v>
      </c>
      <c r="G58" s="35" t="s">
        <v>138</v>
      </c>
      <c r="H58" s="35" t="s">
        <v>91</v>
      </c>
      <c r="I58" s="35"/>
      <c r="J58" s="49" t="s">
        <v>97</v>
      </c>
      <c r="K58" s="35"/>
      <c r="L58" s="49" t="s">
        <v>117</v>
      </c>
      <c r="M58" s="43" t="s">
        <v>57</v>
      </c>
      <c r="N58" s="43" t="s">
        <v>64</v>
      </c>
      <c r="O58" s="43"/>
      <c r="P58" s="43"/>
    </row>
    <row r="59" spans="1:16">
      <c r="A59" s="35">
        <v>0</v>
      </c>
      <c r="B59" s="35" t="str">
        <f t="shared" si="14"/>
        <v>car_db</v>
      </c>
      <c r="C59" s="35" t="str">
        <f t="shared" si="15"/>
        <v>car_db</v>
      </c>
      <c r="D59" s="35" t="str">
        <f>$L$56</f>
        <v>imported_sigungu</v>
      </c>
      <c r="E59" s="35">
        <v>8</v>
      </c>
      <c r="F59" s="46" t="s">
        <v>86</v>
      </c>
      <c r="G59" s="35" t="s">
        <v>139</v>
      </c>
      <c r="H59" s="35" t="s">
        <v>160</v>
      </c>
      <c r="I59" s="35"/>
      <c r="J59" s="49" t="s">
        <v>97</v>
      </c>
      <c r="K59" s="35"/>
      <c r="L59" s="49" t="s">
        <v>119</v>
      </c>
      <c r="M59" s="43"/>
      <c r="N59" s="45"/>
      <c r="O59" s="43"/>
      <c r="P59" s="43"/>
    </row>
    <row r="60" spans="1:16">
      <c r="A60" s="35">
        <v>3</v>
      </c>
      <c r="B60" s="35" t="str">
        <f t="shared" si="14"/>
        <v>car_db</v>
      </c>
      <c r="C60" s="35" t="str">
        <f t="shared" si="15"/>
        <v>car_db</v>
      </c>
      <c r="D60" s="35" t="str">
        <f>$L$56</f>
        <v>imported_sigungu</v>
      </c>
      <c r="E60" s="35">
        <v>8</v>
      </c>
      <c r="F60" s="46" t="s">
        <v>87</v>
      </c>
      <c r="G60" s="35" t="s">
        <v>140</v>
      </c>
      <c r="H60" s="35" t="s">
        <v>91</v>
      </c>
      <c r="I60" s="35"/>
      <c r="J60" s="35"/>
      <c r="K60" s="35"/>
      <c r="L60" s="43"/>
      <c r="M60" s="43"/>
      <c r="N60" s="43"/>
      <c r="O60" s="43"/>
      <c r="P60" s="43"/>
    </row>
    <row r="61" spans="1:16">
      <c r="A61" s="29"/>
      <c r="B61" s="29"/>
      <c r="C61" s="29"/>
      <c r="D61" s="29"/>
      <c r="E61" s="29"/>
      <c r="F61" s="55"/>
      <c r="G61" s="29"/>
      <c r="H61" s="29"/>
      <c r="I61" s="29"/>
      <c r="J61" s="29"/>
      <c r="K61" s="29"/>
      <c r="L61" s="44"/>
      <c r="M61" s="50"/>
      <c r="N61" s="50"/>
      <c r="O61" s="44"/>
      <c r="P61" s="44"/>
    </row>
    <row r="62" spans="1:16">
      <c r="A62" s="68" t="s">
        <v>43</v>
      </c>
      <c r="B62" s="68"/>
      <c r="C62" s="69" t="s">
        <v>154</v>
      </c>
      <c r="D62" s="70"/>
      <c r="E62" s="68" t="s">
        <v>31</v>
      </c>
      <c r="F62" s="68"/>
      <c r="G62" s="70">
        <v>9</v>
      </c>
      <c r="H62" s="70"/>
      <c r="I62" s="68" t="s">
        <v>38</v>
      </c>
      <c r="J62" s="68"/>
      <c r="K62" s="68"/>
      <c r="L62" s="67" t="s">
        <v>45</v>
      </c>
      <c r="M62" s="67"/>
      <c r="N62" s="67"/>
      <c r="O62" s="67"/>
      <c r="P62" s="67"/>
    </row>
    <row r="63" spans="1:16">
      <c r="A63" s="28" t="s">
        <v>4</v>
      </c>
      <c r="B63" s="28" t="s">
        <v>30</v>
      </c>
      <c r="C63" s="28" t="s">
        <v>29</v>
      </c>
      <c r="D63" s="28" t="s">
        <v>39</v>
      </c>
      <c r="E63" s="28" t="s">
        <v>40</v>
      </c>
      <c r="F63" s="28" t="s">
        <v>27</v>
      </c>
      <c r="G63" s="28" t="s">
        <v>1</v>
      </c>
      <c r="H63" s="28" t="s">
        <v>12</v>
      </c>
      <c r="I63" s="28" t="s">
        <v>10</v>
      </c>
      <c r="J63" s="28" t="s">
        <v>6</v>
      </c>
      <c r="K63" s="28" t="s">
        <v>55</v>
      </c>
      <c r="L63" s="42" t="s">
        <v>3</v>
      </c>
      <c r="M63" s="42" t="s">
        <v>14</v>
      </c>
      <c r="N63" s="42" t="s">
        <v>9</v>
      </c>
      <c r="O63" s="42" t="s">
        <v>11</v>
      </c>
      <c r="P63" s="42" t="s">
        <v>5</v>
      </c>
    </row>
    <row r="64" spans="1:16">
      <c r="A64" s="35">
        <v>1</v>
      </c>
      <c r="B64" s="35" t="str">
        <f t="shared" ref="B64:B68" si="16">$G$7</f>
        <v>car_db</v>
      </c>
      <c r="C64" s="35" t="str">
        <f t="shared" ref="C64:C68" si="17">$G$8</f>
        <v>car_db</v>
      </c>
      <c r="D64" s="35" t="str">
        <f>$L$62</f>
        <v>income</v>
      </c>
      <c r="E64" s="35">
        <v>9</v>
      </c>
      <c r="F64" s="46" t="s">
        <v>76</v>
      </c>
      <c r="G64" s="35" t="s">
        <v>143</v>
      </c>
      <c r="H64" s="35" t="s">
        <v>91</v>
      </c>
      <c r="I64" s="35"/>
      <c r="J64" s="49" t="s">
        <v>97</v>
      </c>
      <c r="K64" s="35"/>
      <c r="L64" s="49" t="s">
        <v>119</v>
      </c>
      <c r="M64" s="43" t="s">
        <v>57</v>
      </c>
      <c r="N64" s="43" t="s">
        <v>64</v>
      </c>
      <c r="O64" s="43"/>
      <c r="P64" s="43"/>
    </row>
    <row r="65" spans="1:17">
      <c r="A65" s="35">
        <v>2</v>
      </c>
      <c r="B65" s="35" t="str">
        <f t="shared" si="16"/>
        <v>car_db</v>
      </c>
      <c r="C65" s="35" t="str">
        <f t="shared" si="17"/>
        <v>car_db</v>
      </c>
      <c r="D65" s="35" t="str">
        <f>$L$62</f>
        <v>income</v>
      </c>
      <c r="E65" s="35">
        <v>9</v>
      </c>
      <c r="F65" s="46" t="s">
        <v>86</v>
      </c>
      <c r="G65" s="35" t="s">
        <v>148</v>
      </c>
      <c r="H65" s="35" t="s">
        <v>91</v>
      </c>
      <c r="I65" s="35"/>
      <c r="J65" s="49" t="s">
        <v>97</v>
      </c>
      <c r="K65" s="35"/>
      <c r="L65" s="49" t="s">
        <v>116</v>
      </c>
      <c r="M65" s="43"/>
      <c r="N65" s="43"/>
      <c r="O65" s="43"/>
      <c r="P65" s="43"/>
    </row>
    <row r="66" spans="1:17">
      <c r="A66" s="35">
        <v>3</v>
      </c>
      <c r="B66" s="35" t="str">
        <f t="shared" si="16"/>
        <v>car_db</v>
      </c>
      <c r="C66" s="35" t="str">
        <f t="shared" si="17"/>
        <v>car_db</v>
      </c>
      <c r="D66" s="35" t="str">
        <f>$L$62</f>
        <v>income</v>
      </c>
      <c r="E66" s="35">
        <v>9</v>
      </c>
      <c r="F66" s="46" t="s">
        <v>44</v>
      </c>
      <c r="G66" s="35" t="s">
        <v>147</v>
      </c>
      <c r="H66" s="35" t="s">
        <v>91</v>
      </c>
      <c r="I66" s="35"/>
      <c r="J66" s="35"/>
      <c r="K66" s="35"/>
      <c r="L66" s="43"/>
      <c r="M66" s="43"/>
      <c r="N66" s="43"/>
      <c r="O66" s="43"/>
      <c r="P66" s="43"/>
    </row>
    <row r="67" spans="1:17">
      <c r="A67" s="35">
        <v>4</v>
      </c>
      <c r="B67" s="35" t="str">
        <f t="shared" si="16"/>
        <v>car_db</v>
      </c>
      <c r="C67" s="35" t="str">
        <f t="shared" si="17"/>
        <v>car_db</v>
      </c>
      <c r="D67" s="35" t="str">
        <f>$L$62</f>
        <v>income</v>
      </c>
      <c r="E67" s="35">
        <v>9</v>
      </c>
      <c r="F67" s="46" t="s">
        <v>45</v>
      </c>
      <c r="G67" s="35" t="s">
        <v>142</v>
      </c>
      <c r="H67" s="35" t="s">
        <v>93</v>
      </c>
      <c r="I67" s="35"/>
      <c r="J67" s="35"/>
      <c r="K67" s="35"/>
      <c r="L67" s="43"/>
      <c r="M67" s="43"/>
      <c r="N67" s="43"/>
      <c r="O67" s="43"/>
      <c r="P67" s="43"/>
    </row>
    <row r="68" spans="1:17">
      <c r="A68" s="29">
        <v>5</v>
      </c>
      <c r="B68" s="35" t="str">
        <f t="shared" si="16"/>
        <v>car_db</v>
      </c>
      <c r="C68" s="35" t="str">
        <f t="shared" si="17"/>
        <v>car_db</v>
      </c>
      <c r="D68" s="35" t="str">
        <f>$L$62</f>
        <v>income</v>
      </c>
      <c r="E68" s="29">
        <v>9</v>
      </c>
      <c r="F68" s="47" t="s">
        <v>46</v>
      </c>
      <c r="G68" s="29" t="s">
        <v>141</v>
      </c>
      <c r="H68" s="29" t="s">
        <v>92</v>
      </c>
      <c r="I68" s="29"/>
      <c r="J68" s="29"/>
      <c r="K68" s="29"/>
      <c r="L68" s="44"/>
      <c r="M68" s="44"/>
      <c r="N68" s="44"/>
      <c r="O68" s="44"/>
      <c r="P68" s="44"/>
    </row>
    <row r="69" spans="1:17">
      <c r="A69" s="29"/>
      <c r="B69" s="29"/>
      <c r="C69" s="29"/>
      <c r="D69" s="29"/>
      <c r="E69" s="29"/>
      <c r="F69" s="55"/>
      <c r="G69" s="29"/>
      <c r="H69" s="29"/>
      <c r="I69" s="29"/>
      <c r="J69" s="29"/>
      <c r="K69" s="29"/>
      <c r="L69" s="44"/>
      <c r="M69" s="50"/>
      <c r="N69" s="50"/>
      <c r="O69" s="44"/>
      <c r="P69" s="44"/>
    </row>
    <row r="70" spans="1:17">
      <c r="A70" s="68" t="s">
        <v>43</v>
      </c>
      <c r="B70" s="68"/>
      <c r="C70" s="69" t="s">
        <v>151</v>
      </c>
      <c r="D70" s="70"/>
      <c r="E70" s="68" t="s">
        <v>31</v>
      </c>
      <c r="F70" s="68"/>
      <c r="G70" s="70">
        <v>10</v>
      </c>
      <c r="H70" s="70"/>
      <c r="I70" s="68" t="s">
        <v>26</v>
      </c>
      <c r="J70" s="68"/>
      <c r="K70" s="68"/>
      <c r="L70" s="67" t="s">
        <v>48</v>
      </c>
      <c r="M70" s="67"/>
      <c r="N70" s="67"/>
      <c r="O70" s="67"/>
      <c r="P70" s="67"/>
    </row>
    <row r="71" spans="1:17">
      <c r="A71" s="28" t="s">
        <v>4</v>
      </c>
      <c r="B71" s="28" t="s">
        <v>30</v>
      </c>
      <c r="C71" s="28" t="s">
        <v>28</v>
      </c>
      <c r="D71" s="28" t="s">
        <v>26</v>
      </c>
      <c r="E71" s="28" t="s">
        <v>32</v>
      </c>
      <c r="F71" s="28" t="s">
        <v>27</v>
      </c>
      <c r="G71" s="28" t="s">
        <v>1</v>
      </c>
      <c r="H71" s="28" t="s">
        <v>12</v>
      </c>
      <c r="I71" s="28" t="s">
        <v>10</v>
      </c>
      <c r="J71" s="28" t="s">
        <v>6</v>
      </c>
      <c r="K71" s="28" t="s">
        <v>55</v>
      </c>
      <c r="L71" s="42" t="s">
        <v>3</v>
      </c>
      <c r="M71" s="42" t="s">
        <v>14</v>
      </c>
      <c r="N71" s="42"/>
      <c r="O71" s="42" t="s">
        <v>11</v>
      </c>
      <c r="P71" s="42" t="s">
        <v>5</v>
      </c>
    </row>
    <row r="72" spans="1:17">
      <c r="A72" s="35">
        <v>1</v>
      </c>
      <c r="B72" s="35" t="str">
        <f t="shared" ref="B72:B74" si="18">$G$7</f>
        <v>car_db</v>
      </c>
      <c r="C72" s="35" t="str">
        <f t="shared" ref="C72:C74" si="19">$G$8</f>
        <v>car_db</v>
      </c>
      <c r="D72" s="35" t="str">
        <f>$L$70</f>
        <v>model_year</v>
      </c>
      <c r="E72" s="35">
        <v>10</v>
      </c>
      <c r="F72" s="46" t="s">
        <v>75</v>
      </c>
      <c r="G72" s="35" t="s">
        <v>125</v>
      </c>
      <c r="H72" s="35" t="s">
        <v>59</v>
      </c>
      <c r="I72" s="35"/>
      <c r="J72" s="49" t="s">
        <v>97</v>
      </c>
      <c r="K72" s="35"/>
      <c r="L72" s="49" t="s">
        <v>117</v>
      </c>
      <c r="M72" s="43" t="s">
        <v>57</v>
      </c>
      <c r="N72" s="43" t="s">
        <v>64</v>
      </c>
      <c r="O72" s="43"/>
      <c r="P72" s="43"/>
    </row>
    <row r="73" spans="1:17">
      <c r="A73" s="35">
        <v>2</v>
      </c>
      <c r="B73" s="35" t="str">
        <f t="shared" si="18"/>
        <v>car_db</v>
      </c>
      <c r="C73" s="35" t="str">
        <f t="shared" si="19"/>
        <v>car_db</v>
      </c>
      <c r="D73" s="35" t="str">
        <f>$L$70</f>
        <v>model_year</v>
      </c>
      <c r="E73" s="35">
        <v>10</v>
      </c>
      <c r="F73" s="46" t="s">
        <v>48</v>
      </c>
      <c r="G73" s="35" t="s">
        <v>149</v>
      </c>
      <c r="H73" s="35" t="s">
        <v>47</v>
      </c>
      <c r="I73" s="35"/>
      <c r="J73" s="49" t="s">
        <v>97</v>
      </c>
      <c r="K73" s="35"/>
      <c r="L73" s="49" t="s">
        <v>117</v>
      </c>
      <c r="M73" s="43"/>
      <c r="N73" s="45"/>
      <c r="O73" s="43"/>
      <c r="P73" s="43"/>
    </row>
    <row r="74" spans="1:17">
      <c r="A74" s="35">
        <v>3</v>
      </c>
      <c r="B74" s="35" t="str">
        <f t="shared" si="18"/>
        <v>car_db</v>
      </c>
      <c r="C74" s="35" t="str">
        <f t="shared" si="19"/>
        <v>car_db</v>
      </c>
      <c r="D74" s="35" t="str">
        <f>$L$70</f>
        <v>model_year</v>
      </c>
      <c r="E74" s="35">
        <v>10</v>
      </c>
      <c r="F74" s="46" t="s">
        <v>49</v>
      </c>
      <c r="G74" s="35" t="s">
        <v>150</v>
      </c>
      <c r="H74" s="35" t="s">
        <v>59</v>
      </c>
      <c r="I74" s="35"/>
      <c r="J74" s="35"/>
      <c r="K74" s="35"/>
      <c r="L74" s="43"/>
      <c r="M74" s="43"/>
      <c r="N74" s="43"/>
      <c r="O74" s="43"/>
      <c r="P74" s="43"/>
    </row>
    <row r="75" spans="1:17">
      <c r="A75" s="35"/>
      <c r="B75" s="35"/>
      <c r="C75" s="35"/>
      <c r="D75" s="35"/>
      <c r="E75" s="35"/>
      <c r="F75" s="56"/>
      <c r="G75" s="35"/>
      <c r="H75" s="35"/>
      <c r="I75" s="35"/>
      <c r="J75" s="35"/>
      <c r="K75" s="35"/>
      <c r="L75" s="43"/>
      <c r="M75" s="51"/>
      <c r="N75" s="51"/>
      <c r="O75" s="43"/>
      <c r="P75" s="43"/>
    </row>
    <row r="76" spans="1:17">
      <c r="A76" s="68" t="s">
        <v>43</v>
      </c>
      <c r="B76" s="68"/>
      <c r="C76" s="69" t="s">
        <v>155</v>
      </c>
      <c r="D76" s="70"/>
      <c r="E76" s="68" t="s">
        <v>31</v>
      </c>
      <c r="F76" s="68"/>
      <c r="G76" s="70">
        <v>11</v>
      </c>
      <c r="H76" s="70"/>
      <c r="I76" s="68" t="s">
        <v>26</v>
      </c>
      <c r="J76" s="68"/>
      <c r="K76" s="68"/>
      <c r="L76" s="67" t="s">
        <v>79</v>
      </c>
      <c r="M76" s="67"/>
      <c r="N76" s="67"/>
      <c r="O76" s="67"/>
      <c r="P76" s="67"/>
    </row>
    <row r="77" spans="1:17">
      <c r="A77" s="28" t="s">
        <v>4</v>
      </c>
      <c r="B77" s="28" t="s">
        <v>30</v>
      </c>
      <c r="C77" s="28" t="s">
        <v>28</v>
      </c>
      <c r="D77" s="28" t="s">
        <v>26</v>
      </c>
      <c r="E77" s="28" t="s">
        <v>32</v>
      </c>
      <c r="F77" s="28" t="s">
        <v>27</v>
      </c>
      <c r="G77" s="28" t="s">
        <v>1</v>
      </c>
      <c r="H77" s="28" t="s">
        <v>12</v>
      </c>
      <c r="I77" s="28" t="s">
        <v>10</v>
      </c>
      <c r="J77" s="28" t="s">
        <v>6</v>
      </c>
      <c r="K77" s="28" t="s">
        <v>55</v>
      </c>
      <c r="L77" s="42" t="s">
        <v>3</v>
      </c>
      <c r="M77" s="42" t="s">
        <v>14</v>
      </c>
      <c r="N77" s="42" t="s">
        <v>9</v>
      </c>
      <c r="O77" s="42" t="s">
        <v>11</v>
      </c>
      <c r="P77" s="42" t="s">
        <v>5</v>
      </c>
    </row>
    <row r="78" spans="1:17">
      <c r="A78" s="35">
        <v>1</v>
      </c>
      <c r="B78" s="35" t="str">
        <f t="shared" ref="B78:B81" si="20">$G$7</f>
        <v>car_db</v>
      </c>
      <c r="C78" s="35" t="str">
        <f t="shared" ref="C78:C81" si="21">$G$8</f>
        <v>car_db</v>
      </c>
      <c r="D78" s="35" t="str">
        <f>$L$76</f>
        <v>new_foreign_domestic_sido</v>
      </c>
      <c r="E78" s="35">
        <v>11</v>
      </c>
      <c r="F78" s="46" t="s">
        <v>75</v>
      </c>
      <c r="G78" s="35" t="s">
        <v>138</v>
      </c>
      <c r="H78" s="35" t="s">
        <v>91</v>
      </c>
      <c r="I78" s="35"/>
      <c r="J78" s="49" t="s">
        <v>121</v>
      </c>
      <c r="K78" s="35"/>
      <c r="L78" s="49" t="s">
        <v>120</v>
      </c>
      <c r="M78" s="43" t="s">
        <v>57</v>
      </c>
      <c r="N78" s="43" t="s">
        <v>64</v>
      </c>
      <c r="O78" s="43"/>
      <c r="P78" s="43"/>
      <c r="Q78" s="39"/>
    </row>
    <row r="79" spans="1:17">
      <c r="A79" s="35">
        <v>2</v>
      </c>
      <c r="B79" s="35" t="str">
        <f t="shared" si="20"/>
        <v>car_db</v>
      </c>
      <c r="C79" s="35" t="str">
        <f t="shared" si="21"/>
        <v>car_db</v>
      </c>
      <c r="D79" s="35" t="str">
        <f>$L$76</f>
        <v>new_foreign_domestic_sido</v>
      </c>
      <c r="E79" s="35">
        <v>11</v>
      </c>
      <c r="F79" s="46" t="s">
        <v>78</v>
      </c>
      <c r="G79" s="35" t="s">
        <v>135</v>
      </c>
      <c r="H79" s="35" t="s">
        <v>91</v>
      </c>
      <c r="I79" s="35"/>
      <c r="J79" s="49" t="s">
        <v>97</v>
      </c>
      <c r="K79" s="35"/>
      <c r="L79" s="49" t="s">
        <v>117</v>
      </c>
      <c r="M79" s="35"/>
      <c r="N79" s="52"/>
      <c r="O79" s="35"/>
      <c r="P79" s="35"/>
      <c r="Q79" s="39"/>
    </row>
    <row r="80" spans="1:17">
      <c r="A80" s="35">
        <v>3</v>
      </c>
      <c r="B80" s="35" t="str">
        <f t="shared" si="20"/>
        <v>car_db</v>
      </c>
      <c r="C80" s="35" t="str">
        <f t="shared" si="21"/>
        <v>car_db</v>
      </c>
      <c r="D80" s="35" t="str">
        <f>$L$76</f>
        <v>new_foreign_domestic_sido</v>
      </c>
      <c r="E80" s="35">
        <v>11</v>
      </c>
      <c r="F80" s="46" t="s">
        <v>53</v>
      </c>
      <c r="G80" s="35" t="s">
        <v>153</v>
      </c>
      <c r="H80" s="35" t="s">
        <v>91</v>
      </c>
      <c r="I80" s="35"/>
      <c r="J80" s="35"/>
      <c r="K80" s="35"/>
      <c r="L80" s="35"/>
      <c r="M80" s="35"/>
      <c r="N80" s="35"/>
      <c r="O80" s="35"/>
      <c r="P80" s="35"/>
      <c r="Q80" s="39"/>
    </row>
    <row r="81" spans="1:17">
      <c r="A81" s="35">
        <v>4</v>
      </c>
      <c r="B81" s="35" t="str">
        <f t="shared" si="20"/>
        <v>car_db</v>
      </c>
      <c r="C81" s="35" t="str">
        <f t="shared" si="21"/>
        <v>car_db</v>
      </c>
      <c r="D81" s="35" t="str">
        <f>$L$76</f>
        <v>new_foreign_domestic_sido</v>
      </c>
      <c r="E81" s="35">
        <v>11</v>
      </c>
      <c r="F81" s="46" t="s">
        <v>54</v>
      </c>
      <c r="G81" s="35" t="s">
        <v>152</v>
      </c>
      <c r="H81" s="35" t="s">
        <v>91</v>
      </c>
      <c r="I81" s="35"/>
      <c r="J81" s="35"/>
      <c r="K81" s="35"/>
      <c r="L81" s="35"/>
      <c r="M81" s="41"/>
      <c r="N81" s="30"/>
      <c r="O81" s="30"/>
      <c r="P81" s="30"/>
      <c r="Q81" s="39"/>
    </row>
    <row r="82" spans="1:17">
      <c r="A82" s="39"/>
      <c r="B82" s="39"/>
      <c r="C82" s="39"/>
      <c r="D82" s="39"/>
      <c r="E82" s="39"/>
      <c r="F82" s="38"/>
      <c r="G82" s="39"/>
      <c r="H82" s="39"/>
      <c r="I82" s="39"/>
      <c r="J82" s="39"/>
      <c r="K82" s="39"/>
      <c r="L82" s="39"/>
      <c r="M82" s="38"/>
      <c r="N82" s="38"/>
      <c r="O82" s="39"/>
      <c r="P82" s="39"/>
      <c r="Q82" s="39"/>
    </row>
    <row r="83" spans="1:17">
      <c r="A83" s="68" t="s">
        <v>43</v>
      </c>
      <c r="B83" s="68"/>
      <c r="C83" s="69" t="s">
        <v>179</v>
      </c>
      <c r="D83" s="70"/>
      <c r="E83" s="68" t="s">
        <v>31</v>
      </c>
      <c r="F83" s="68"/>
      <c r="G83" s="70">
        <v>12</v>
      </c>
      <c r="H83" s="70"/>
      <c r="I83" s="68" t="s">
        <v>26</v>
      </c>
      <c r="J83" s="68"/>
      <c r="K83" s="68"/>
      <c r="L83" s="67" t="s">
        <v>171</v>
      </c>
      <c r="M83" s="67"/>
      <c r="N83" s="67"/>
      <c r="O83" s="67"/>
      <c r="P83" s="67"/>
      <c r="Q83" s="39"/>
    </row>
    <row r="84" spans="1:17">
      <c r="A84" s="28" t="s">
        <v>4</v>
      </c>
      <c r="B84" s="28" t="s">
        <v>30</v>
      </c>
      <c r="C84" s="28" t="s">
        <v>28</v>
      </c>
      <c r="D84" s="28" t="s">
        <v>26</v>
      </c>
      <c r="E84" s="28" t="s">
        <v>32</v>
      </c>
      <c r="F84" s="28" t="s">
        <v>27</v>
      </c>
      <c r="G84" s="28" t="s">
        <v>1</v>
      </c>
      <c r="H84" s="28" t="s">
        <v>12</v>
      </c>
      <c r="I84" s="28" t="s">
        <v>10</v>
      </c>
      <c r="J84" s="28" t="s">
        <v>6</v>
      </c>
      <c r="K84" s="28" t="s">
        <v>55</v>
      </c>
      <c r="L84" s="42" t="s">
        <v>3</v>
      </c>
      <c r="M84" s="42" t="s">
        <v>14</v>
      </c>
      <c r="N84" s="42" t="s">
        <v>9</v>
      </c>
      <c r="O84" s="42" t="s">
        <v>11</v>
      </c>
      <c r="P84" s="42" t="s">
        <v>5</v>
      </c>
      <c r="Q84" s="39"/>
    </row>
    <row r="85" spans="1:17">
      <c r="A85" s="35">
        <v>1</v>
      </c>
      <c r="B85" s="35" t="str">
        <f t="shared" ref="B85:B87" si="22">$G$7</f>
        <v>car_db</v>
      </c>
      <c r="C85" s="35" t="str">
        <f t="shared" ref="C85:C87" si="23">$G$8</f>
        <v>car_db</v>
      </c>
      <c r="D85" s="35" t="s">
        <v>174</v>
      </c>
      <c r="E85" s="35">
        <v>12</v>
      </c>
      <c r="F85" s="59" t="s">
        <v>168</v>
      </c>
      <c r="G85" s="35" t="s">
        <v>175</v>
      </c>
      <c r="H85" s="35" t="s">
        <v>172</v>
      </c>
      <c r="I85" s="35"/>
      <c r="J85" s="49"/>
      <c r="K85" s="35"/>
      <c r="L85" s="49"/>
      <c r="M85" s="43"/>
      <c r="N85" s="43"/>
      <c r="O85" s="43"/>
      <c r="P85" s="43"/>
      <c r="Q85" s="39"/>
    </row>
    <row r="86" spans="1:17">
      <c r="A86" s="35">
        <v>2</v>
      </c>
      <c r="B86" s="35" t="str">
        <f t="shared" si="22"/>
        <v>car_db</v>
      </c>
      <c r="C86" s="35" t="str">
        <f t="shared" si="23"/>
        <v>car_db</v>
      </c>
      <c r="D86" s="35" t="s">
        <v>174</v>
      </c>
      <c r="E86" s="35">
        <v>12</v>
      </c>
      <c r="F86" s="59" t="s">
        <v>169</v>
      </c>
      <c r="G86" s="35" t="s">
        <v>176</v>
      </c>
      <c r="H86" s="35" t="s">
        <v>173</v>
      </c>
      <c r="I86" s="35"/>
      <c r="J86" s="49"/>
      <c r="K86" s="35"/>
      <c r="L86" s="49"/>
      <c r="M86" s="35"/>
      <c r="N86" s="52"/>
      <c r="O86" s="35"/>
      <c r="P86" s="35"/>
      <c r="Q86" s="39"/>
    </row>
    <row r="87" spans="1:17">
      <c r="A87" s="35">
        <v>3</v>
      </c>
      <c r="B87" s="35" t="str">
        <f t="shared" si="22"/>
        <v>car_db</v>
      </c>
      <c r="C87" s="35" t="str">
        <f t="shared" si="23"/>
        <v>car_db</v>
      </c>
      <c r="D87" s="35" t="s">
        <v>174</v>
      </c>
      <c r="E87" s="35">
        <v>12</v>
      </c>
      <c r="F87" s="59" t="s">
        <v>170</v>
      </c>
      <c r="G87" s="35" t="s">
        <v>177</v>
      </c>
      <c r="H87" s="35" t="s">
        <v>173</v>
      </c>
      <c r="I87" s="35"/>
      <c r="J87" s="35"/>
      <c r="K87" s="35"/>
      <c r="L87" s="35"/>
      <c r="M87" s="35"/>
      <c r="N87" s="35"/>
      <c r="O87" s="35"/>
      <c r="P87" s="35"/>
    </row>
  </sheetData>
  <mergeCells count="87">
    <mergeCell ref="I62:K62"/>
    <mergeCell ref="I70:K70"/>
    <mergeCell ref="I76:K76"/>
    <mergeCell ref="I25:K25"/>
    <mergeCell ref="I32:K32"/>
    <mergeCell ref="I38:K38"/>
    <mergeCell ref="I43:K43"/>
    <mergeCell ref="I49:K49"/>
    <mergeCell ref="G56:H56"/>
    <mergeCell ref="L56:P56"/>
    <mergeCell ref="I56:K56"/>
    <mergeCell ref="A49:B49"/>
    <mergeCell ref="C49:D49"/>
    <mergeCell ref="E49:F49"/>
    <mergeCell ref="G49:H49"/>
    <mergeCell ref="L70:P70"/>
    <mergeCell ref="L62:P62"/>
    <mergeCell ref="L38:P38"/>
    <mergeCell ref="A43:B43"/>
    <mergeCell ref="C43:D43"/>
    <mergeCell ref="E43:F43"/>
    <mergeCell ref="G43:H43"/>
    <mergeCell ref="L43:P43"/>
    <mergeCell ref="A38:B38"/>
    <mergeCell ref="C38:D38"/>
    <mergeCell ref="E38:F38"/>
    <mergeCell ref="G38:H38"/>
    <mergeCell ref="L49:P49"/>
    <mergeCell ref="A56:B56"/>
    <mergeCell ref="C56:D56"/>
    <mergeCell ref="E56:F56"/>
    <mergeCell ref="A76:B76"/>
    <mergeCell ref="C76:D76"/>
    <mergeCell ref="E76:F76"/>
    <mergeCell ref="G76:H76"/>
    <mergeCell ref="L76:P76"/>
    <mergeCell ref="A70:B70"/>
    <mergeCell ref="C70:D70"/>
    <mergeCell ref="E70:F70"/>
    <mergeCell ref="G70:H70"/>
    <mergeCell ref="A4:F4"/>
    <mergeCell ref="G4:P4"/>
    <mergeCell ref="A10:B10"/>
    <mergeCell ref="C10:D10"/>
    <mergeCell ref="E10:F10"/>
    <mergeCell ref="G10:H10"/>
    <mergeCell ref="L10:P10"/>
    <mergeCell ref="I10:K10"/>
    <mergeCell ref="A5:F5"/>
    <mergeCell ref="G5:P5"/>
    <mergeCell ref="A6:F6"/>
    <mergeCell ref="G6:P6"/>
    <mergeCell ref="A1:P1"/>
    <mergeCell ref="A2:F2"/>
    <mergeCell ref="G2:P2"/>
    <mergeCell ref="A3:F3"/>
    <mergeCell ref="G3:P3"/>
    <mergeCell ref="A7:F7"/>
    <mergeCell ref="G7:P7"/>
    <mergeCell ref="A8:F8"/>
    <mergeCell ref="G8:P8"/>
    <mergeCell ref="G18:H18"/>
    <mergeCell ref="L18:P18"/>
    <mergeCell ref="I18:K18"/>
    <mergeCell ref="E18:F18"/>
    <mergeCell ref="G25:H25"/>
    <mergeCell ref="L25:P25"/>
    <mergeCell ref="G62:H62"/>
    <mergeCell ref="A18:B18"/>
    <mergeCell ref="C18:D18"/>
    <mergeCell ref="A32:B32"/>
    <mergeCell ref="A25:B25"/>
    <mergeCell ref="C25:D25"/>
    <mergeCell ref="E25:F25"/>
    <mergeCell ref="A62:B62"/>
    <mergeCell ref="C62:D62"/>
    <mergeCell ref="E62:F62"/>
    <mergeCell ref="C32:D32"/>
    <mergeCell ref="E32:F32"/>
    <mergeCell ref="G32:H32"/>
    <mergeCell ref="L32:P32"/>
    <mergeCell ref="L83:P83"/>
    <mergeCell ref="A83:B83"/>
    <mergeCell ref="C83:D83"/>
    <mergeCell ref="E83:F83"/>
    <mergeCell ref="G83:H83"/>
    <mergeCell ref="I83:K83"/>
  </mergeCells>
  <phoneticPr fontId="7" type="noConversion"/>
  <conditionalFormatting sqref="F79:F81">
    <cfRule type="duplicateValues" dxfId="2" priority="2"/>
  </conditionalFormatting>
  <conditionalFormatting sqref="F86:F87">
    <cfRule type="duplicateValues" dxfId="1" priority="3"/>
  </conditionalFormatting>
  <pageMargins left="0.69999998807907104" right="0.69999998807907104" top="0.75" bottom="0.75" header="0.30000001192092896" footer="0.30000001192092896"/>
  <pageSetup paperSize="9" scale="33" fitToWidth="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47"/>
  <sheetViews>
    <sheetView zoomScaleNormal="100" zoomScaleSheetLayoutView="75" workbookViewId="0">
      <selection activeCell="A3" sqref="A3"/>
    </sheetView>
  </sheetViews>
  <sheetFormatPr defaultColWidth="12.42578125" defaultRowHeight="15.75" customHeight="1"/>
  <cols>
    <col min="1" max="1" width="8.5703125" bestFit="1" customWidth="1"/>
    <col min="2" max="2" width="11.42578125" customWidth="1"/>
    <col min="3" max="3" width="15.7109375" customWidth="1"/>
    <col min="4" max="4" width="26.140625" bestFit="1" customWidth="1"/>
    <col min="5" max="5" width="14.28515625" customWidth="1"/>
    <col min="6" max="6" width="28" style="1" bestFit="1" customWidth="1"/>
    <col min="7" max="7" width="36.42578125" bestFit="1" customWidth="1"/>
    <col min="8" max="8" width="8.5703125" customWidth="1"/>
    <col min="9" max="9" width="12.42578125" hidden="1" customWidth="1"/>
    <col min="11" max="11" width="12.42578125" customWidth="1"/>
    <col min="12" max="12" width="19.42578125" style="1" hidden="1" customWidth="1"/>
    <col min="13" max="13" width="1.28515625" style="1" hidden="1" customWidth="1"/>
    <col min="14" max="14" width="1.28515625" hidden="1" customWidth="1"/>
  </cols>
  <sheetData>
    <row r="1" spans="1:17" ht="15.75" customHeight="1" thickBot="1"/>
    <row r="2" spans="1:17" ht="55.5" customHeight="1" thickBot="1">
      <c r="A2" s="102" t="s">
        <v>123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4"/>
    </row>
    <row r="4" spans="1:17" ht="17.25" customHeight="1">
      <c r="A4" s="57" t="s">
        <v>4</v>
      </c>
      <c r="B4" s="57" t="s">
        <v>30</v>
      </c>
      <c r="C4" s="57" t="s">
        <v>29</v>
      </c>
      <c r="D4" s="57" t="s">
        <v>26</v>
      </c>
      <c r="E4" s="57" t="s">
        <v>32</v>
      </c>
      <c r="F4" s="57" t="s">
        <v>27</v>
      </c>
      <c r="G4" s="57" t="s">
        <v>1</v>
      </c>
      <c r="H4" s="57" t="s">
        <v>12</v>
      </c>
      <c r="I4" s="57" t="s">
        <v>10</v>
      </c>
      <c r="J4" s="57" t="s">
        <v>6</v>
      </c>
      <c r="K4" s="57" t="s">
        <v>101</v>
      </c>
      <c r="L4" s="57" t="s">
        <v>14</v>
      </c>
      <c r="M4" s="57" t="s">
        <v>9</v>
      </c>
      <c r="N4" s="57" t="s">
        <v>11</v>
      </c>
      <c r="O4" s="57" t="s">
        <v>5</v>
      </c>
      <c r="P4" s="1"/>
      <c r="Q4" s="1"/>
    </row>
    <row r="5" spans="1:17" ht="17.25" customHeight="1">
      <c r="A5" s="2">
        <f>ROW()-4</f>
        <v>1</v>
      </c>
      <c r="B5" s="2" t="str">
        <f>테이블명세서!$G$7</f>
        <v>car_db</v>
      </c>
      <c r="C5" s="2" t="str">
        <f>테이블명세서!$G$8</f>
        <v>car_db</v>
      </c>
      <c r="D5" s="49" t="s">
        <v>85</v>
      </c>
      <c r="E5" s="2">
        <v>1</v>
      </c>
      <c r="F5" s="49" t="s">
        <v>75</v>
      </c>
      <c r="G5" s="35" t="s">
        <v>60</v>
      </c>
      <c r="H5" s="49" t="s">
        <v>91</v>
      </c>
      <c r="I5" s="2"/>
      <c r="J5" s="49" t="s">
        <v>97</v>
      </c>
      <c r="K5" s="47" t="s">
        <v>58</v>
      </c>
      <c r="L5" s="27"/>
      <c r="M5" s="2"/>
      <c r="N5" s="2"/>
      <c r="O5" s="27"/>
      <c r="P5" s="1"/>
      <c r="Q5" s="1"/>
    </row>
    <row r="6" spans="1:17" ht="17.25" customHeight="1">
      <c r="A6" s="2">
        <f t="shared" ref="A6:A47" si="0">ROW()-4</f>
        <v>2</v>
      </c>
      <c r="B6" s="2" t="str">
        <f>테이블명세서!$G$7</f>
        <v>car_db</v>
      </c>
      <c r="C6" s="2" t="str">
        <f>테이블명세서!$G$8</f>
        <v>car_db</v>
      </c>
      <c r="D6" s="49" t="s">
        <v>85</v>
      </c>
      <c r="E6" s="2">
        <v>1</v>
      </c>
      <c r="F6" s="49" t="s">
        <v>78</v>
      </c>
      <c r="G6" s="35" t="s">
        <v>103</v>
      </c>
      <c r="H6" s="49" t="s">
        <v>91</v>
      </c>
      <c r="I6" s="2"/>
      <c r="J6" s="49" t="s">
        <v>97</v>
      </c>
      <c r="K6" s="47" t="s">
        <v>58</v>
      </c>
      <c r="L6" s="27"/>
      <c r="M6" s="2"/>
      <c r="N6" s="2"/>
      <c r="O6" s="27"/>
      <c r="P6" s="1"/>
      <c r="Q6" s="1"/>
    </row>
    <row r="7" spans="1:17" ht="15.75" customHeight="1">
      <c r="A7" s="2">
        <f t="shared" si="0"/>
        <v>3</v>
      </c>
      <c r="B7" s="2" t="str">
        <f>테이블명세서!$G$7</f>
        <v>car_db</v>
      </c>
      <c r="C7" s="2" t="str">
        <f>테이블명세서!$G$8</f>
        <v>car_db</v>
      </c>
      <c r="D7" s="49" t="s">
        <v>85</v>
      </c>
      <c r="E7" s="2">
        <v>1</v>
      </c>
      <c r="F7" s="49" t="s">
        <v>90</v>
      </c>
      <c r="G7" s="35" t="s">
        <v>104</v>
      </c>
      <c r="H7" s="49" t="s">
        <v>96</v>
      </c>
      <c r="I7" s="2"/>
      <c r="J7" s="49" t="s">
        <v>97</v>
      </c>
      <c r="K7" s="47" t="s">
        <v>58</v>
      </c>
      <c r="L7" s="27"/>
      <c r="M7" s="2"/>
      <c r="N7" s="2"/>
      <c r="O7" s="27"/>
      <c r="P7" s="1"/>
      <c r="Q7" s="1"/>
    </row>
    <row r="8" spans="1:17" ht="15.75" customHeight="1">
      <c r="A8" s="2">
        <f t="shared" si="0"/>
        <v>4</v>
      </c>
      <c r="B8" s="2" t="str">
        <f>테이블명세서!$G$7</f>
        <v>car_db</v>
      </c>
      <c r="C8" s="2" t="str">
        <f>테이블명세서!$G$8</f>
        <v>car_db</v>
      </c>
      <c r="D8" s="49" t="s">
        <v>85</v>
      </c>
      <c r="E8" s="2">
        <v>1</v>
      </c>
      <c r="F8" s="49" t="s">
        <v>89</v>
      </c>
      <c r="G8" s="35" t="s">
        <v>105</v>
      </c>
      <c r="H8" s="49" t="s">
        <v>91</v>
      </c>
      <c r="I8" s="2"/>
      <c r="J8" s="49" t="s">
        <v>97</v>
      </c>
      <c r="K8" s="47" t="s">
        <v>58</v>
      </c>
      <c r="L8" s="27"/>
      <c r="M8" s="2"/>
      <c r="N8" s="2"/>
      <c r="O8" s="27"/>
    </row>
    <row r="9" spans="1:17" ht="15.75" customHeight="1">
      <c r="A9" s="2">
        <f t="shared" si="0"/>
        <v>5</v>
      </c>
      <c r="B9" s="2" t="str">
        <f>테이블명세서!$G$7</f>
        <v>car_db</v>
      </c>
      <c r="C9" s="2" t="str">
        <f>테이블명세서!$G$8</f>
        <v>car_db</v>
      </c>
      <c r="D9" s="49" t="s">
        <v>85</v>
      </c>
      <c r="E9" s="2">
        <v>1</v>
      </c>
      <c r="F9" s="49" t="s">
        <v>44</v>
      </c>
      <c r="G9" s="29" t="s">
        <v>102</v>
      </c>
      <c r="H9" s="49" t="s">
        <v>91</v>
      </c>
      <c r="I9" s="2"/>
      <c r="J9" s="49"/>
      <c r="K9" s="49"/>
      <c r="L9" s="27"/>
      <c r="M9" s="2"/>
      <c r="N9" s="2"/>
      <c r="O9" s="27"/>
      <c r="P9" s="1"/>
      <c r="Q9" s="1"/>
    </row>
    <row r="10" spans="1:17" ht="15.75" customHeight="1">
      <c r="A10" s="2">
        <f t="shared" si="0"/>
        <v>6</v>
      </c>
      <c r="B10" s="2" t="str">
        <f>테이블명세서!$G$7</f>
        <v>car_db</v>
      </c>
      <c r="C10" s="2" t="str">
        <f>테이블명세서!$G$8</f>
        <v>car_db</v>
      </c>
      <c r="D10" s="49" t="s">
        <v>84</v>
      </c>
      <c r="E10" s="2">
        <v>2</v>
      </c>
      <c r="F10" s="49" t="s">
        <v>75</v>
      </c>
      <c r="G10" s="35" t="s">
        <v>162</v>
      </c>
      <c r="H10" s="49" t="s">
        <v>91</v>
      </c>
      <c r="I10" s="2"/>
      <c r="J10" s="49" t="s">
        <v>97</v>
      </c>
      <c r="K10" s="47" t="s">
        <v>58</v>
      </c>
      <c r="L10" s="27"/>
      <c r="M10" s="2"/>
      <c r="N10" s="2"/>
      <c r="O10" s="27"/>
      <c r="P10" s="1"/>
      <c r="Q10" s="1"/>
    </row>
    <row r="11" spans="1:17" ht="15.75" customHeight="1">
      <c r="A11" s="2">
        <f t="shared" si="0"/>
        <v>7</v>
      </c>
      <c r="B11" s="2" t="str">
        <f>테이블명세서!$G$7</f>
        <v>car_db</v>
      </c>
      <c r="C11" s="2" t="str">
        <f>테이블명세서!$G$8</f>
        <v>car_db</v>
      </c>
      <c r="D11" s="49" t="s">
        <v>84</v>
      </c>
      <c r="E11" s="2">
        <v>2</v>
      </c>
      <c r="F11" s="49" t="s">
        <v>86</v>
      </c>
      <c r="G11" s="35" t="s">
        <v>61</v>
      </c>
      <c r="H11" s="49" t="s">
        <v>91</v>
      </c>
      <c r="I11" s="2"/>
      <c r="J11" s="49" t="s">
        <v>97</v>
      </c>
      <c r="K11" s="47" t="s">
        <v>58</v>
      </c>
      <c r="L11" s="27"/>
      <c r="M11" s="2"/>
      <c r="N11" s="2"/>
      <c r="O11" s="27"/>
      <c r="P11" s="1"/>
      <c r="Q11" s="1"/>
    </row>
    <row r="12" spans="1:17" ht="15.75" customHeight="1">
      <c r="A12" s="2">
        <f t="shared" si="0"/>
        <v>8</v>
      </c>
      <c r="B12" s="2" t="str">
        <f>테이블명세서!$G$7</f>
        <v>car_db</v>
      </c>
      <c r="C12" s="2" t="str">
        <f>테이블명세서!$G$8</f>
        <v>car_db</v>
      </c>
      <c r="D12" s="49" t="s">
        <v>84</v>
      </c>
      <c r="E12" s="2">
        <v>2</v>
      </c>
      <c r="F12" s="49" t="s">
        <v>35</v>
      </c>
      <c r="G12" s="35" t="s">
        <v>133</v>
      </c>
      <c r="H12" s="49" t="s">
        <v>91</v>
      </c>
      <c r="I12" s="2"/>
      <c r="J12" s="49"/>
      <c r="K12" s="49"/>
      <c r="L12" s="27"/>
      <c r="M12" s="2"/>
      <c r="N12" s="2"/>
      <c r="O12" s="27"/>
      <c r="P12" s="1"/>
      <c r="Q12" s="1"/>
    </row>
    <row r="13" spans="1:17" ht="15.75" customHeight="1">
      <c r="A13" s="2">
        <f t="shared" si="0"/>
        <v>9</v>
      </c>
      <c r="B13" s="2" t="str">
        <f>테이블명세서!$G$7</f>
        <v>car_db</v>
      </c>
      <c r="C13" s="2" t="str">
        <f>테이블명세서!$G$8</f>
        <v>car_db</v>
      </c>
      <c r="D13" s="49" t="s">
        <v>84</v>
      </c>
      <c r="E13" s="2">
        <v>2</v>
      </c>
      <c r="F13" s="49" t="s">
        <v>36</v>
      </c>
      <c r="G13" s="35" t="s">
        <v>134</v>
      </c>
      <c r="H13" s="49" t="s">
        <v>91</v>
      </c>
      <c r="I13" s="2"/>
      <c r="J13" s="49"/>
      <c r="K13" s="49"/>
      <c r="L13" s="27"/>
      <c r="M13" s="2"/>
      <c r="N13" s="2"/>
      <c r="O13" s="27"/>
      <c r="P13" s="1"/>
      <c r="Q13" s="1"/>
    </row>
    <row r="14" spans="1:17" ht="15.75" customHeight="1">
      <c r="A14" s="2">
        <f t="shared" si="0"/>
        <v>10</v>
      </c>
      <c r="B14" s="2" t="str">
        <f>테이블명세서!$G$7</f>
        <v>car_db</v>
      </c>
      <c r="C14" s="2" t="str">
        <f>테이블명세서!$G$8</f>
        <v>car_db</v>
      </c>
      <c r="D14" s="49" t="s">
        <v>77</v>
      </c>
      <c r="E14" s="2">
        <v>3</v>
      </c>
      <c r="F14" s="49" t="s">
        <v>75</v>
      </c>
      <c r="G14" s="35" t="s">
        <v>129</v>
      </c>
      <c r="H14" s="49" t="s">
        <v>91</v>
      </c>
      <c r="I14" s="2"/>
      <c r="J14" s="49" t="s">
        <v>97</v>
      </c>
      <c r="K14" s="47" t="s">
        <v>58</v>
      </c>
      <c r="L14" s="27"/>
      <c r="M14" s="2"/>
      <c r="N14" s="2"/>
      <c r="O14" s="27"/>
      <c r="P14" s="1"/>
      <c r="Q14" s="1"/>
    </row>
    <row r="15" spans="1:17" ht="15.75" customHeight="1">
      <c r="A15" s="2">
        <f t="shared" si="0"/>
        <v>11</v>
      </c>
      <c r="B15" s="2" t="str">
        <f>테이블명세서!$G$7</f>
        <v>car_db</v>
      </c>
      <c r="C15" s="2" t="str">
        <f>테이블명세서!$G$8</f>
        <v>car_db</v>
      </c>
      <c r="D15" s="49" t="s">
        <v>77</v>
      </c>
      <c r="E15" s="2">
        <v>3</v>
      </c>
      <c r="F15" s="49" t="s">
        <v>78</v>
      </c>
      <c r="G15" s="35" t="s">
        <v>130</v>
      </c>
      <c r="H15" s="49" t="s">
        <v>91</v>
      </c>
      <c r="I15" s="2"/>
      <c r="J15" s="49" t="s">
        <v>97</v>
      </c>
      <c r="K15" s="47" t="s">
        <v>58</v>
      </c>
      <c r="L15" s="27"/>
      <c r="M15" s="2"/>
      <c r="N15" s="2"/>
      <c r="O15" s="27"/>
      <c r="P15" s="1"/>
      <c r="Q15" s="1"/>
    </row>
    <row r="16" spans="1:17" ht="15.75" customHeight="1">
      <c r="A16" s="2">
        <f t="shared" si="0"/>
        <v>12</v>
      </c>
      <c r="B16" s="2" t="str">
        <f>테이블명세서!$G$7</f>
        <v>car_db</v>
      </c>
      <c r="C16" s="2" t="str">
        <f>테이블명세서!$G$8</f>
        <v>car_db</v>
      </c>
      <c r="D16" s="49" t="s">
        <v>77</v>
      </c>
      <c r="E16" s="2">
        <v>3</v>
      </c>
      <c r="F16" s="49" t="s">
        <v>51</v>
      </c>
      <c r="G16" s="35" t="s">
        <v>131</v>
      </c>
      <c r="H16" s="49" t="s">
        <v>91</v>
      </c>
      <c r="I16" s="2"/>
      <c r="J16" s="49"/>
      <c r="K16" s="49"/>
      <c r="L16" s="27"/>
      <c r="M16" s="2"/>
      <c r="N16" s="2"/>
      <c r="O16" s="27"/>
      <c r="P16" s="1"/>
      <c r="Q16" s="1"/>
    </row>
    <row r="17" spans="1:17" ht="15.75" customHeight="1">
      <c r="A17" s="2">
        <f t="shared" si="0"/>
        <v>13</v>
      </c>
      <c r="B17" s="2" t="str">
        <f>테이블명세서!$G$7</f>
        <v>car_db</v>
      </c>
      <c r="C17" s="2" t="str">
        <f>테이블명세서!$G$8</f>
        <v>car_db</v>
      </c>
      <c r="D17" s="49" t="s">
        <v>77</v>
      </c>
      <c r="E17" s="2">
        <v>3</v>
      </c>
      <c r="F17" s="49" t="s">
        <v>52</v>
      </c>
      <c r="G17" s="35" t="s">
        <v>132</v>
      </c>
      <c r="H17" s="49" t="s">
        <v>91</v>
      </c>
      <c r="I17" s="2"/>
      <c r="J17" s="49"/>
      <c r="K17" s="49"/>
      <c r="L17" s="27"/>
      <c r="M17" s="2"/>
      <c r="N17" s="2"/>
      <c r="O17" s="27"/>
      <c r="P17" s="1"/>
      <c r="Q17" s="1"/>
    </row>
    <row r="18" spans="1:17" ht="15.75" customHeight="1">
      <c r="A18" s="2">
        <f t="shared" si="0"/>
        <v>14</v>
      </c>
      <c r="B18" s="2" t="str">
        <f>테이블명세서!$G$7</f>
        <v>car_db</v>
      </c>
      <c r="C18" s="2" t="str">
        <f>테이블명세서!$G$8</f>
        <v>car_db</v>
      </c>
      <c r="D18" s="49" t="s">
        <v>83</v>
      </c>
      <c r="E18" s="2">
        <v>4</v>
      </c>
      <c r="F18" s="49" t="s">
        <v>86</v>
      </c>
      <c r="G18" s="35" t="s">
        <v>127</v>
      </c>
      <c r="H18" s="49" t="s">
        <v>91</v>
      </c>
      <c r="I18" s="2"/>
      <c r="J18" s="49" t="s">
        <v>97</v>
      </c>
      <c r="K18" s="47" t="s">
        <v>58</v>
      </c>
      <c r="L18" s="27"/>
      <c r="M18" s="2"/>
      <c r="N18" s="2"/>
      <c r="O18" s="27"/>
      <c r="P18" s="1"/>
      <c r="Q18" s="1"/>
    </row>
    <row r="19" spans="1:17" ht="15.75" customHeight="1">
      <c r="A19" s="2">
        <f t="shared" si="0"/>
        <v>15</v>
      </c>
      <c r="B19" s="2" t="str">
        <f>테이블명세서!$G$7</f>
        <v>car_db</v>
      </c>
      <c r="C19" s="2" t="str">
        <f>테이블명세서!$G$8</f>
        <v>car_db</v>
      </c>
      <c r="D19" s="49" t="s">
        <v>83</v>
      </c>
      <c r="E19" s="2">
        <v>4</v>
      </c>
      <c r="F19" s="49" t="s">
        <v>78</v>
      </c>
      <c r="G19" s="35" t="s">
        <v>126</v>
      </c>
      <c r="H19" s="49" t="s">
        <v>91</v>
      </c>
      <c r="I19" s="2"/>
      <c r="J19" s="49" t="s">
        <v>98</v>
      </c>
      <c r="K19" s="47" t="s">
        <v>58</v>
      </c>
      <c r="L19" s="27"/>
      <c r="M19" s="2"/>
      <c r="N19" s="2"/>
      <c r="O19" s="27"/>
      <c r="P19" s="1"/>
      <c r="Q19" s="1"/>
    </row>
    <row r="20" spans="1:17" ht="15.75" customHeight="1">
      <c r="A20" s="2">
        <f t="shared" si="0"/>
        <v>16</v>
      </c>
      <c r="B20" s="2" t="str">
        <f>테이블명세서!$G$7</f>
        <v>car_db</v>
      </c>
      <c r="C20" s="2" t="str">
        <f>테이블명세서!$G$8</f>
        <v>car_db</v>
      </c>
      <c r="D20" s="49" t="s">
        <v>83</v>
      </c>
      <c r="E20" s="2">
        <v>4</v>
      </c>
      <c r="F20" s="49" t="s">
        <v>37</v>
      </c>
      <c r="G20" s="35" t="s">
        <v>128</v>
      </c>
      <c r="H20" s="49" t="s">
        <v>95</v>
      </c>
      <c r="I20" s="2"/>
      <c r="J20" s="49"/>
      <c r="K20" s="47" t="s">
        <v>58</v>
      </c>
      <c r="L20" s="27"/>
      <c r="M20" s="2"/>
      <c r="N20" s="2"/>
      <c r="O20" s="27"/>
      <c r="P20" s="1"/>
      <c r="Q20" s="1"/>
    </row>
    <row r="21" spans="1:17" ht="15.75" customHeight="1">
      <c r="A21" s="2">
        <f t="shared" si="0"/>
        <v>17</v>
      </c>
      <c r="B21" s="2" t="str">
        <f>테이블명세서!$G$7</f>
        <v>car_db</v>
      </c>
      <c r="C21" s="2" t="str">
        <f>테이블명세서!$G$8</f>
        <v>car_db</v>
      </c>
      <c r="D21" s="49" t="s">
        <v>82</v>
      </c>
      <c r="E21" s="2">
        <v>5</v>
      </c>
      <c r="F21" s="49" t="s">
        <v>78</v>
      </c>
      <c r="G21" s="35" t="s">
        <v>126</v>
      </c>
      <c r="H21" s="49" t="s">
        <v>91</v>
      </c>
      <c r="I21" s="2"/>
      <c r="J21" s="49" t="s">
        <v>97</v>
      </c>
      <c r="K21" s="47" t="s">
        <v>58</v>
      </c>
      <c r="L21" s="27"/>
      <c r="M21" s="2"/>
      <c r="N21" s="2"/>
      <c r="O21" s="27"/>
      <c r="P21" s="1"/>
      <c r="Q21" s="1"/>
    </row>
    <row r="22" spans="1:17" ht="15.75" customHeight="1">
      <c r="A22" s="2">
        <f t="shared" si="0"/>
        <v>18</v>
      </c>
      <c r="B22" s="2" t="str">
        <f>테이블명세서!$G$7</f>
        <v>car_db</v>
      </c>
      <c r="C22" s="2" t="str">
        <f>테이블명세서!$G$8</f>
        <v>car_db</v>
      </c>
      <c r="D22" s="49" t="s">
        <v>82</v>
      </c>
      <c r="E22" s="2">
        <v>5</v>
      </c>
      <c r="F22" s="49" t="s">
        <v>34</v>
      </c>
      <c r="G22" s="35" t="s">
        <v>144</v>
      </c>
      <c r="H22" s="49" t="s">
        <v>95</v>
      </c>
      <c r="I22" s="2"/>
      <c r="J22" s="49" t="s">
        <v>99</v>
      </c>
      <c r="K22" s="47" t="s">
        <v>58</v>
      </c>
      <c r="L22" s="27"/>
      <c r="M22" s="2"/>
      <c r="N22" s="2"/>
      <c r="O22" s="27"/>
    </row>
    <row r="23" spans="1:17" ht="15.75" customHeight="1">
      <c r="A23" s="2">
        <f t="shared" si="0"/>
        <v>19</v>
      </c>
      <c r="B23" s="2" t="str">
        <f>테이블명세서!$G$7</f>
        <v>car_db</v>
      </c>
      <c r="C23" s="2" t="str">
        <f>테이블명세서!$G$8</f>
        <v>car_db</v>
      </c>
      <c r="D23" s="49" t="s">
        <v>74</v>
      </c>
      <c r="E23" s="2">
        <v>6</v>
      </c>
      <c r="F23" s="49" t="s">
        <v>75</v>
      </c>
      <c r="G23" s="35" t="s">
        <v>125</v>
      </c>
      <c r="H23" s="49" t="s">
        <v>91</v>
      </c>
      <c r="I23" s="2"/>
      <c r="J23" s="49" t="s">
        <v>97</v>
      </c>
      <c r="K23" s="47" t="s">
        <v>58</v>
      </c>
      <c r="L23" s="27"/>
      <c r="M23" s="2"/>
      <c r="N23" s="2"/>
      <c r="O23" s="27"/>
      <c r="P23" s="1"/>
      <c r="Q23" s="1"/>
    </row>
    <row r="24" spans="1:17" ht="15.75" customHeight="1">
      <c r="A24" s="2">
        <f t="shared" si="0"/>
        <v>20</v>
      </c>
      <c r="B24" s="2" t="str">
        <f>테이블명세서!$G$7</f>
        <v>car_db</v>
      </c>
      <c r="C24" s="2" t="str">
        <f>테이블명세서!$G$8</f>
        <v>car_db</v>
      </c>
      <c r="D24" s="49" t="s">
        <v>74</v>
      </c>
      <c r="E24" s="2">
        <v>6</v>
      </c>
      <c r="F24" s="49" t="s">
        <v>76</v>
      </c>
      <c r="G24" s="35" t="s">
        <v>145</v>
      </c>
      <c r="H24" s="49" t="s">
        <v>91</v>
      </c>
      <c r="I24" s="2"/>
      <c r="J24" s="49" t="s">
        <v>98</v>
      </c>
      <c r="K24" s="47" t="s">
        <v>58</v>
      </c>
      <c r="L24" s="27"/>
      <c r="M24" s="2"/>
      <c r="N24" s="2"/>
      <c r="O24" s="27"/>
    </row>
    <row r="25" spans="1:17" ht="15.75" customHeight="1">
      <c r="A25" s="2">
        <f t="shared" si="0"/>
        <v>21</v>
      </c>
      <c r="B25" s="2" t="str">
        <f>테이블명세서!$G$7</f>
        <v>car_db</v>
      </c>
      <c r="C25" s="2" t="str">
        <f>테이블명세서!$G$8</f>
        <v>car_db</v>
      </c>
      <c r="D25" s="49" t="s">
        <v>74</v>
      </c>
      <c r="E25" s="2">
        <v>6</v>
      </c>
      <c r="F25" s="49" t="s">
        <v>33</v>
      </c>
      <c r="G25" s="35" t="s">
        <v>146</v>
      </c>
      <c r="H25" s="49" t="s">
        <v>91</v>
      </c>
      <c r="I25" s="2"/>
      <c r="J25" s="49"/>
      <c r="K25" s="47" t="s">
        <v>58</v>
      </c>
      <c r="L25" s="27"/>
      <c r="M25" s="2"/>
      <c r="N25" s="2"/>
      <c r="O25" s="27"/>
    </row>
    <row r="26" spans="1:17" ht="15.75" customHeight="1">
      <c r="A26" s="2">
        <f t="shared" si="0"/>
        <v>22</v>
      </c>
      <c r="B26" s="2" t="str">
        <f>테이블명세서!$G$7</f>
        <v>car_db</v>
      </c>
      <c r="C26" s="2" t="str">
        <f>테이블명세서!$G$8</f>
        <v>car_db</v>
      </c>
      <c r="D26" s="49" t="s">
        <v>81</v>
      </c>
      <c r="E26" s="2">
        <v>7</v>
      </c>
      <c r="F26" s="49" t="s">
        <v>75</v>
      </c>
      <c r="G26" s="35" t="s">
        <v>125</v>
      </c>
      <c r="H26" s="49" t="s">
        <v>91</v>
      </c>
      <c r="I26" s="2"/>
      <c r="J26" s="49" t="s">
        <v>97</v>
      </c>
      <c r="K26" s="47" t="s">
        <v>58</v>
      </c>
      <c r="L26" s="27"/>
      <c r="M26" s="2"/>
      <c r="N26" s="2"/>
      <c r="O26" s="27"/>
    </row>
    <row r="27" spans="1:17" ht="15.75" customHeight="1">
      <c r="A27" s="2">
        <f t="shared" si="0"/>
        <v>23</v>
      </c>
      <c r="B27" s="2" t="str">
        <f>테이블명세서!$G$7</f>
        <v>car_db</v>
      </c>
      <c r="C27" s="2" t="str">
        <f>테이블명세서!$G$8</f>
        <v>car_db</v>
      </c>
      <c r="D27" s="49" t="s">
        <v>81</v>
      </c>
      <c r="E27" s="2">
        <v>7</v>
      </c>
      <c r="F27" s="47" t="s">
        <v>163</v>
      </c>
      <c r="G27" s="35" t="s">
        <v>135</v>
      </c>
      <c r="H27" s="49" t="s">
        <v>91</v>
      </c>
      <c r="I27" s="2"/>
      <c r="J27" s="49" t="s">
        <v>97</v>
      </c>
      <c r="K27" s="47" t="s">
        <v>58</v>
      </c>
      <c r="L27" s="27"/>
      <c r="M27" s="2"/>
      <c r="N27" s="2"/>
      <c r="O27" s="27"/>
    </row>
    <row r="28" spans="1:17" ht="15.75" customHeight="1">
      <c r="A28" s="2">
        <f t="shared" si="0"/>
        <v>24</v>
      </c>
      <c r="B28" s="2" t="str">
        <f>테이블명세서!$G$7</f>
        <v>car_db</v>
      </c>
      <c r="C28" s="2" t="str">
        <f>테이블명세서!$G$8</f>
        <v>car_db</v>
      </c>
      <c r="D28" s="49" t="s">
        <v>81</v>
      </c>
      <c r="E28" s="2">
        <v>7</v>
      </c>
      <c r="F28" s="49" t="s">
        <v>88</v>
      </c>
      <c r="G28" s="35" t="s">
        <v>136</v>
      </c>
      <c r="H28" s="49" t="s">
        <v>94</v>
      </c>
      <c r="I28" s="2"/>
      <c r="J28" s="49" t="s">
        <v>97</v>
      </c>
      <c r="K28" s="47" t="s">
        <v>58</v>
      </c>
      <c r="L28" s="27"/>
      <c r="M28" s="2"/>
      <c r="N28" s="2"/>
      <c r="O28" s="27"/>
    </row>
    <row r="29" spans="1:17" ht="15.75" customHeight="1">
      <c r="A29" s="2">
        <f t="shared" si="0"/>
        <v>25</v>
      </c>
      <c r="B29" s="2" t="str">
        <f>테이블명세서!$G$7</f>
        <v>car_db</v>
      </c>
      <c r="C29" s="2" t="str">
        <f>테이블명세서!$G$8</f>
        <v>car_db</v>
      </c>
      <c r="D29" s="49" t="s">
        <v>81</v>
      </c>
      <c r="E29" s="2">
        <v>7</v>
      </c>
      <c r="F29" s="49" t="s">
        <v>44</v>
      </c>
      <c r="G29" s="35" t="s">
        <v>137</v>
      </c>
      <c r="H29" s="49" t="s">
        <v>91</v>
      </c>
      <c r="I29" s="2"/>
      <c r="J29" s="49"/>
      <c r="K29" s="49"/>
      <c r="L29" s="27"/>
      <c r="M29" s="2"/>
      <c r="N29" s="2"/>
      <c r="O29" s="27"/>
    </row>
    <row r="30" spans="1:17" ht="15.75" customHeight="1">
      <c r="A30" s="2">
        <f t="shared" si="0"/>
        <v>26</v>
      </c>
      <c r="B30" s="2" t="str">
        <f>테이블명세서!$G$7</f>
        <v>car_db</v>
      </c>
      <c r="C30" s="2" t="str">
        <f>테이블명세서!$G$8</f>
        <v>car_db</v>
      </c>
      <c r="D30" s="49" t="s">
        <v>80</v>
      </c>
      <c r="E30" s="2">
        <v>8</v>
      </c>
      <c r="F30" s="49" t="s">
        <v>75</v>
      </c>
      <c r="G30" s="35" t="s">
        <v>138</v>
      </c>
      <c r="H30" s="49" t="s">
        <v>91</v>
      </c>
      <c r="I30" s="2"/>
      <c r="J30" s="49" t="s">
        <v>97</v>
      </c>
      <c r="K30" s="47" t="s">
        <v>58</v>
      </c>
      <c r="L30" s="27"/>
      <c r="M30" s="2"/>
      <c r="N30" s="2"/>
      <c r="O30" s="27"/>
    </row>
    <row r="31" spans="1:17" ht="15.75" customHeight="1">
      <c r="A31" s="2">
        <f t="shared" si="0"/>
        <v>27</v>
      </c>
      <c r="B31" s="2" t="str">
        <f>테이블명세서!$G$7</f>
        <v>car_db</v>
      </c>
      <c r="C31" s="2" t="str">
        <f>테이블명세서!$G$8</f>
        <v>car_db</v>
      </c>
      <c r="D31" s="49" t="s">
        <v>80</v>
      </c>
      <c r="E31" s="2">
        <v>8</v>
      </c>
      <c r="F31" s="49" t="s">
        <v>86</v>
      </c>
      <c r="G31" s="35" t="s">
        <v>139</v>
      </c>
      <c r="H31" s="49" t="s">
        <v>91</v>
      </c>
      <c r="I31" s="2"/>
      <c r="J31" s="49" t="s">
        <v>97</v>
      </c>
      <c r="K31" s="47" t="s">
        <v>58</v>
      </c>
      <c r="L31" s="27"/>
      <c r="M31" s="2"/>
      <c r="N31" s="2"/>
      <c r="O31" s="27"/>
    </row>
    <row r="32" spans="1:17" ht="15.75" customHeight="1">
      <c r="A32" s="2">
        <f t="shared" si="0"/>
        <v>28</v>
      </c>
      <c r="B32" s="2" t="str">
        <f>테이블명세서!$G$7</f>
        <v>car_db</v>
      </c>
      <c r="C32" s="2" t="str">
        <f>테이블명세서!$G$8</f>
        <v>car_db</v>
      </c>
      <c r="D32" s="49" t="s">
        <v>80</v>
      </c>
      <c r="E32" s="2">
        <v>8</v>
      </c>
      <c r="F32" s="49" t="s">
        <v>87</v>
      </c>
      <c r="G32" s="35" t="s">
        <v>140</v>
      </c>
      <c r="H32" s="49" t="s">
        <v>91</v>
      </c>
      <c r="I32" s="2"/>
      <c r="J32" s="49"/>
      <c r="K32" s="49"/>
      <c r="L32" s="27"/>
      <c r="M32" s="2"/>
      <c r="N32" s="2"/>
      <c r="O32" s="27"/>
    </row>
    <row r="33" spans="1:15" ht="15.75" customHeight="1">
      <c r="A33" s="2">
        <f t="shared" si="0"/>
        <v>29</v>
      </c>
      <c r="B33" s="2" t="str">
        <f>테이블명세서!$G$7</f>
        <v>car_db</v>
      </c>
      <c r="C33" s="2" t="str">
        <f>테이블명세서!$G$8</f>
        <v>car_db</v>
      </c>
      <c r="D33" s="49" t="s">
        <v>45</v>
      </c>
      <c r="E33" s="2">
        <v>9</v>
      </c>
      <c r="F33" s="49" t="s">
        <v>76</v>
      </c>
      <c r="G33" s="35" t="s">
        <v>143</v>
      </c>
      <c r="H33" s="49" t="s">
        <v>91</v>
      </c>
      <c r="I33" s="2"/>
      <c r="J33" s="49" t="s">
        <v>97</v>
      </c>
      <c r="K33" s="47" t="s">
        <v>58</v>
      </c>
      <c r="L33" s="27"/>
      <c r="M33" s="2"/>
      <c r="N33" s="2"/>
      <c r="O33" s="27"/>
    </row>
    <row r="34" spans="1:15" ht="15.75" customHeight="1">
      <c r="A34" s="2">
        <f t="shared" si="0"/>
        <v>30</v>
      </c>
      <c r="B34" s="2" t="str">
        <f>테이블명세서!$G$7</f>
        <v>car_db</v>
      </c>
      <c r="C34" s="2" t="str">
        <f>테이블명세서!$G$8</f>
        <v>car_db</v>
      </c>
      <c r="D34" s="49" t="s">
        <v>45</v>
      </c>
      <c r="E34" s="2">
        <v>9</v>
      </c>
      <c r="F34" s="49" t="s">
        <v>86</v>
      </c>
      <c r="G34" s="35" t="s">
        <v>148</v>
      </c>
      <c r="H34" s="49" t="s">
        <v>91</v>
      </c>
      <c r="I34" s="2"/>
      <c r="J34" s="49" t="s">
        <v>97</v>
      </c>
      <c r="K34" s="47" t="s">
        <v>58</v>
      </c>
      <c r="L34" s="27"/>
      <c r="M34" s="2"/>
      <c r="N34" s="2"/>
      <c r="O34" s="27"/>
    </row>
    <row r="35" spans="1:15" ht="15.75" customHeight="1">
      <c r="A35" s="2">
        <f t="shared" si="0"/>
        <v>31</v>
      </c>
      <c r="B35" s="2" t="str">
        <f>테이블명세서!$G$7</f>
        <v>car_db</v>
      </c>
      <c r="C35" s="2" t="str">
        <f>테이블명세서!$G$8</f>
        <v>car_db</v>
      </c>
      <c r="D35" s="49" t="s">
        <v>45</v>
      </c>
      <c r="E35" s="2">
        <v>9</v>
      </c>
      <c r="F35" s="49" t="s">
        <v>44</v>
      </c>
      <c r="G35" s="35" t="s">
        <v>147</v>
      </c>
      <c r="H35" s="49" t="s">
        <v>91</v>
      </c>
      <c r="I35" s="2"/>
      <c r="J35" s="49"/>
      <c r="K35" s="49"/>
      <c r="L35" s="27"/>
      <c r="M35" s="2"/>
      <c r="N35" s="2"/>
      <c r="O35" s="27"/>
    </row>
    <row r="36" spans="1:15" ht="15.75" customHeight="1">
      <c r="A36" s="2">
        <f t="shared" si="0"/>
        <v>32</v>
      </c>
      <c r="B36" s="2" t="str">
        <f>테이블명세서!$G$7</f>
        <v>car_db</v>
      </c>
      <c r="C36" s="2" t="str">
        <f>테이블명세서!$G$8</f>
        <v>car_db</v>
      </c>
      <c r="D36" s="49" t="s">
        <v>45</v>
      </c>
      <c r="E36" s="2">
        <v>9</v>
      </c>
      <c r="F36" s="49" t="s">
        <v>45</v>
      </c>
      <c r="G36" s="35" t="s">
        <v>142</v>
      </c>
      <c r="H36" s="49" t="s">
        <v>93</v>
      </c>
      <c r="I36" s="2"/>
      <c r="J36" s="49"/>
      <c r="K36" s="49"/>
      <c r="L36" s="27"/>
      <c r="M36" s="2"/>
      <c r="N36" s="2"/>
      <c r="O36" s="27"/>
    </row>
    <row r="37" spans="1:15" ht="15.75" customHeight="1">
      <c r="A37" s="2">
        <f t="shared" si="0"/>
        <v>33</v>
      </c>
      <c r="B37" s="2" t="str">
        <f>테이블명세서!$G$7</f>
        <v>car_db</v>
      </c>
      <c r="C37" s="2" t="str">
        <f>테이블명세서!$G$8</f>
        <v>car_db</v>
      </c>
      <c r="D37" s="49" t="s">
        <v>45</v>
      </c>
      <c r="E37" s="2">
        <v>9</v>
      </c>
      <c r="F37" s="49" t="s">
        <v>46</v>
      </c>
      <c r="G37" s="29" t="s">
        <v>141</v>
      </c>
      <c r="H37" s="49" t="s">
        <v>92</v>
      </c>
      <c r="I37" s="2"/>
      <c r="J37" s="49"/>
      <c r="K37" s="49"/>
      <c r="L37" s="27"/>
      <c r="M37" s="2"/>
      <c r="N37" s="2"/>
      <c r="O37" s="27"/>
    </row>
    <row r="38" spans="1:15" ht="15.75" customHeight="1">
      <c r="A38" s="2">
        <f t="shared" si="0"/>
        <v>34</v>
      </c>
      <c r="B38" s="2" t="str">
        <f>테이블명세서!$G$7</f>
        <v>car_db</v>
      </c>
      <c r="C38" s="2" t="str">
        <f>테이블명세서!$G$8</f>
        <v>car_db</v>
      </c>
      <c r="D38" s="49" t="s">
        <v>48</v>
      </c>
      <c r="E38" s="2">
        <v>10</v>
      </c>
      <c r="F38" s="49" t="s">
        <v>75</v>
      </c>
      <c r="G38" s="35" t="s">
        <v>125</v>
      </c>
      <c r="H38" s="49" t="s">
        <v>91</v>
      </c>
      <c r="I38" s="2"/>
      <c r="J38" s="49" t="s">
        <v>97</v>
      </c>
      <c r="K38" s="47" t="s">
        <v>58</v>
      </c>
      <c r="L38" s="27"/>
      <c r="M38" s="2"/>
      <c r="N38" s="2"/>
      <c r="O38" s="27"/>
    </row>
    <row r="39" spans="1:15" ht="15.75" customHeight="1">
      <c r="A39" s="2">
        <f t="shared" si="0"/>
        <v>35</v>
      </c>
      <c r="B39" s="2" t="str">
        <f>테이블명세서!$G$7</f>
        <v>car_db</v>
      </c>
      <c r="C39" s="2" t="str">
        <f>테이블명세서!$G$8</f>
        <v>car_db</v>
      </c>
      <c r="D39" s="49" t="s">
        <v>48</v>
      </c>
      <c r="E39" s="2">
        <v>10</v>
      </c>
      <c r="F39" s="49" t="s">
        <v>48</v>
      </c>
      <c r="G39" s="35" t="s">
        <v>149</v>
      </c>
      <c r="H39" s="49" t="s">
        <v>91</v>
      </c>
      <c r="I39" s="2"/>
      <c r="J39" s="49" t="s">
        <v>97</v>
      </c>
      <c r="K39" s="47" t="s">
        <v>58</v>
      </c>
      <c r="L39" s="27"/>
      <c r="M39" s="2"/>
      <c r="N39" s="2"/>
      <c r="O39" s="27"/>
    </row>
    <row r="40" spans="1:15" ht="15.75" customHeight="1">
      <c r="A40" s="2">
        <f t="shared" si="0"/>
        <v>36</v>
      </c>
      <c r="B40" s="2" t="str">
        <f>테이블명세서!$G$7</f>
        <v>car_db</v>
      </c>
      <c r="C40" s="2" t="str">
        <f>테이블명세서!$G$8</f>
        <v>car_db</v>
      </c>
      <c r="D40" s="49" t="s">
        <v>48</v>
      </c>
      <c r="E40" s="2">
        <v>10</v>
      </c>
      <c r="F40" s="49" t="s">
        <v>49</v>
      </c>
      <c r="G40" s="35" t="s">
        <v>150</v>
      </c>
      <c r="H40" s="49" t="s">
        <v>91</v>
      </c>
      <c r="I40" s="2"/>
      <c r="J40" s="49"/>
      <c r="K40" s="49"/>
      <c r="L40" s="27"/>
      <c r="M40" s="2"/>
      <c r="N40" s="2"/>
      <c r="O40" s="27"/>
    </row>
    <row r="41" spans="1:15" ht="15.75" customHeight="1">
      <c r="A41" s="2">
        <f t="shared" si="0"/>
        <v>37</v>
      </c>
      <c r="B41" s="2" t="str">
        <f>테이블명세서!$G$7</f>
        <v>car_db</v>
      </c>
      <c r="C41" s="2" t="str">
        <f>테이블명세서!$G$8</f>
        <v>car_db</v>
      </c>
      <c r="D41" s="49" t="s">
        <v>79</v>
      </c>
      <c r="E41" s="2">
        <v>11</v>
      </c>
      <c r="F41" s="49" t="s">
        <v>75</v>
      </c>
      <c r="G41" s="35" t="s">
        <v>138</v>
      </c>
      <c r="H41" s="49" t="s">
        <v>91</v>
      </c>
      <c r="I41" s="2"/>
      <c r="J41" s="49" t="s">
        <v>97</v>
      </c>
      <c r="K41" s="47" t="s">
        <v>58</v>
      </c>
      <c r="L41" s="27"/>
      <c r="M41" s="2"/>
      <c r="N41" s="2"/>
      <c r="O41" s="27"/>
    </row>
    <row r="42" spans="1:15" ht="15.75" customHeight="1">
      <c r="A42" s="2">
        <f t="shared" si="0"/>
        <v>38</v>
      </c>
      <c r="B42" s="2" t="str">
        <f>테이블명세서!$G$7</f>
        <v>car_db</v>
      </c>
      <c r="C42" s="2" t="str">
        <f>테이블명세서!$G$8</f>
        <v>car_db</v>
      </c>
      <c r="D42" s="49" t="s">
        <v>79</v>
      </c>
      <c r="E42" s="2">
        <v>11</v>
      </c>
      <c r="F42" s="49" t="s">
        <v>78</v>
      </c>
      <c r="G42" s="35" t="s">
        <v>135</v>
      </c>
      <c r="H42" s="49" t="s">
        <v>91</v>
      </c>
      <c r="I42" s="2"/>
      <c r="J42" s="49" t="s">
        <v>97</v>
      </c>
      <c r="K42" s="47" t="s">
        <v>58</v>
      </c>
      <c r="L42" s="27"/>
      <c r="M42" s="2"/>
      <c r="N42" s="2"/>
      <c r="O42" s="27"/>
    </row>
    <row r="43" spans="1:15" ht="15.75" customHeight="1">
      <c r="A43" s="2">
        <f t="shared" si="0"/>
        <v>39</v>
      </c>
      <c r="B43" s="2" t="str">
        <f>테이블명세서!$G$7</f>
        <v>car_db</v>
      </c>
      <c r="C43" s="2" t="str">
        <f>테이블명세서!$G$8</f>
        <v>car_db</v>
      </c>
      <c r="D43" s="49" t="s">
        <v>79</v>
      </c>
      <c r="E43" s="2">
        <v>11</v>
      </c>
      <c r="F43" s="49" t="s">
        <v>53</v>
      </c>
      <c r="G43" s="35" t="s">
        <v>153</v>
      </c>
      <c r="H43" s="49" t="s">
        <v>91</v>
      </c>
      <c r="I43" s="2"/>
      <c r="J43" s="49"/>
      <c r="K43" s="49"/>
      <c r="L43" s="27"/>
      <c r="M43" s="2"/>
      <c r="N43" s="2"/>
      <c r="O43" s="27"/>
    </row>
    <row r="44" spans="1:15" ht="15.75" customHeight="1">
      <c r="A44" s="2">
        <f t="shared" si="0"/>
        <v>40</v>
      </c>
      <c r="B44" s="2" t="str">
        <f>테이블명세서!$G$7</f>
        <v>car_db</v>
      </c>
      <c r="C44" s="2" t="str">
        <f>테이블명세서!$G$8</f>
        <v>car_db</v>
      </c>
      <c r="D44" s="49" t="s">
        <v>79</v>
      </c>
      <c r="E44" s="2">
        <v>11</v>
      </c>
      <c r="F44" s="49" t="s">
        <v>54</v>
      </c>
      <c r="G44" s="35" t="s">
        <v>161</v>
      </c>
      <c r="H44" s="49" t="s">
        <v>91</v>
      </c>
      <c r="I44" s="2"/>
      <c r="J44" s="49"/>
      <c r="K44" s="49"/>
      <c r="L44" s="27"/>
      <c r="M44" s="2"/>
      <c r="N44" s="2"/>
      <c r="O44" s="27"/>
    </row>
    <row r="45" spans="1:15" ht="15.75" customHeight="1">
      <c r="A45" s="2">
        <f t="shared" si="0"/>
        <v>41</v>
      </c>
      <c r="B45" s="2" t="str">
        <f>테이블명세서!$G$7</f>
        <v>car_db</v>
      </c>
      <c r="C45" s="2" t="str">
        <f>테이블명세서!$G$8</f>
        <v>car_db</v>
      </c>
      <c r="D45" s="35" t="s">
        <v>174</v>
      </c>
      <c r="E45" s="35">
        <v>12</v>
      </c>
      <c r="F45" s="59" t="s">
        <v>168</v>
      </c>
      <c r="G45" s="35" t="s">
        <v>175</v>
      </c>
      <c r="H45" s="35" t="s">
        <v>172</v>
      </c>
      <c r="I45" s="35"/>
      <c r="J45" s="49"/>
      <c r="K45" s="35"/>
      <c r="L45" s="49"/>
      <c r="M45" s="43"/>
      <c r="N45" s="43"/>
      <c r="O45" s="43"/>
    </row>
    <row r="46" spans="1:15" ht="15.75" customHeight="1">
      <c r="A46" s="2">
        <f t="shared" si="0"/>
        <v>42</v>
      </c>
      <c r="B46" s="2" t="str">
        <f>테이블명세서!$G$7</f>
        <v>car_db</v>
      </c>
      <c r="C46" s="2" t="str">
        <f>테이블명세서!$G$8</f>
        <v>car_db</v>
      </c>
      <c r="D46" s="35" t="s">
        <v>174</v>
      </c>
      <c r="E46" s="35">
        <v>12</v>
      </c>
      <c r="F46" s="59" t="s">
        <v>169</v>
      </c>
      <c r="G46" s="35" t="s">
        <v>176</v>
      </c>
      <c r="H46" s="35" t="s">
        <v>173</v>
      </c>
      <c r="I46" s="35"/>
      <c r="J46" s="49"/>
      <c r="K46" s="35"/>
      <c r="L46" s="49"/>
      <c r="M46" s="35"/>
      <c r="N46" s="52"/>
      <c r="O46" s="35"/>
    </row>
    <row r="47" spans="1:15" ht="15.75" customHeight="1">
      <c r="A47" s="2">
        <f t="shared" si="0"/>
        <v>43</v>
      </c>
      <c r="B47" s="2" t="str">
        <f>테이블명세서!$G$7</f>
        <v>car_db</v>
      </c>
      <c r="C47" s="2" t="str">
        <f>테이블명세서!$G$8</f>
        <v>car_db</v>
      </c>
      <c r="D47" s="35" t="s">
        <v>174</v>
      </c>
      <c r="E47" s="35">
        <v>12</v>
      </c>
      <c r="F47" s="59" t="s">
        <v>170</v>
      </c>
      <c r="G47" s="35" t="s">
        <v>177</v>
      </c>
      <c r="H47" s="35" t="s">
        <v>173</v>
      </c>
      <c r="I47" s="35"/>
      <c r="J47" s="35"/>
      <c r="K47" s="35"/>
      <c r="L47" s="35"/>
      <c r="M47" s="35"/>
      <c r="N47" s="35"/>
      <c r="O47" s="35"/>
    </row>
  </sheetData>
  <autoFilter ref="A4:O44"/>
  <mergeCells count="1">
    <mergeCell ref="A2:O2"/>
  </mergeCells>
  <phoneticPr fontId="7" type="noConversion"/>
  <conditionalFormatting sqref="F46:F47">
    <cfRule type="duplicateValues" dxfId="0" priority="1"/>
  </conditionalFormatting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표지</vt:lpstr>
      <vt:lpstr>개정이력</vt:lpstr>
      <vt:lpstr>테이블명세서</vt:lpstr>
      <vt:lpstr>컬럼목록</vt:lpstr>
      <vt:lpstr>개정이력!Print_Area</vt:lpstr>
      <vt:lpstr>테이블명세서!Print_Area</vt:lpstr>
      <vt:lpstr>표지!Print_Area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82105</dc:creator>
  <cp:lastModifiedBy>kim</cp:lastModifiedBy>
  <cp:revision>1</cp:revision>
  <dcterms:created xsi:type="dcterms:W3CDTF">2025-03-18T01:44:42Z</dcterms:created>
  <dcterms:modified xsi:type="dcterms:W3CDTF">2026-03-31T05:41:22Z</dcterms:modified>
  <cp:version>1100.0100.01</cp:version>
</cp:coreProperties>
</file>